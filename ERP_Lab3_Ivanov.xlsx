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очник номенклатуры" sheetId="1" state="visible" r:id="rId1"/>
    <sheet xmlns:r="http://schemas.openxmlformats.org/officeDocument/2006/relationships" name="Справочник контрагентов" sheetId="2" state="visible" r:id="rId2"/>
    <sheet xmlns:r="http://schemas.openxmlformats.org/officeDocument/2006/relationships" name="Заказы" sheetId="3" state="visible" r:id="rId3"/>
    <sheet xmlns:r="http://schemas.openxmlformats.org/officeDocument/2006/relationships" name="Анализ прода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Код товара</t>
        </is>
      </c>
      <c r="B1" s="1" t="inlineStr">
        <is>
          <t>Наименование товара</t>
        </is>
      </c>
      <c r="C1" s="1" t="inlineStr">
        <is>
          <t>Категория</t>
        </is>
      </c>
      <c r="D1" s="1" t="inlineStr">
        <is>
          <t>Ед. изм.</t>
        </is>
      </c>
      <c r="E1" s="1" t="inlineStr">
        <is>
          <t>Цена закупки (руб.)</t>
        </is>
      </c>
      <c r="F1" s="1" t="inlineStr">
        <is>
          <t>Цена продажи (руб.)</t>
        </is>
      </c>
      <c r="G1" s="1" t="inlineStr">
        <is>
          <t>Минимальный остаток (шт.)</t>
        </is>
      </c>
      <c r="H1" s="1" t="inlineStr">
        <is>
          <t>Наценка, %</t>
        </is>
      </c>
    </row>
    <row r="2">
      <c r="A2" t="inlineStr">
        <is>
          <t>Т-001</t>
        </is>
      </c>
      <c r="B2" t="inlineStr">
        <is>
          <t>Мука пшеничная</t>
        </is>
      </c>
      <c r="C2" t="inlineStr">
        <is>
          <t>Сырьё</t>
        </is>
      </c>
      <c r="D2" t="inlineStr">
        <is>
          <t>кг</t>
        </is>
      </c>
      <c r="E2" t="n">
        <v>30</v>
      </c>
      <c r="F2" t="n">
        <v>35</v>
      </c>
      <c r="G2" t="n">
        <v>100</v>
      </c>
      <c r="H2">
        <f>(F2-E2)/E2*100</f>
        <v/>
      </c>
    </row>
    <row r="3">
      <c r="A3" t="inlineStr">
        <is>
          <t>Т-002</t>
        </is>
      </c>
      <c r="B3" t="inlineStr">
        <is>
          <t>Сахар</t>
        </is>
      </c>
      <c r="C3" t="inlineStr">
        <is>
          <t>Сырьё</t>
        </is>
      </c>
      <c r="D3" t="inlineStr">
        <is>
          <t>кг</t>
        </is>
      </c>
      <c r="E3" t="n">
        <v>40</v>
      </c>
      <c r="F3" t="n">
        <v>45</v>
      </c>
      <c r="G3" t="n">
        <v>50</v>
      </c>
      <c r="H3">
        <f>(F3-E3)/E3*100</f>
        <v/>
      </c>
    </row>
    <row r="4">
      <c r="A4" t="inlineStr">
        <is>
          <t>Т-003</t>
        </is>
      </c>
      <c r="B4" t="inlineStr">
        <is>
          <t>Соль</t>
        </is>
      </c>
      <c r="C4" t="inlineStr">
        <is>
          <t>Сырьё</t>
        </is>
      </c>
      <c r="D4" t="inlineStr">
        <is>
          <t>кг</t>
        </is>
      </c>
      <c r="E4" t="n">
        <v>15</v>
      </c>
      <c r="F4" t="n">
        <v>20</v>
      </c>
      <c r="G4" t="n">
        <v>20</v>
      </c>
      <c r="H4">
        <f>(F4-E4)/E4*100</f>
        <v/>
      </c>
    </row>
    <row r="5">
      <c r="A5" t="inlineStr">
        <is>
          <t>Т-004</t>
        </is>
      </c>
      <c r="B5" t="inlineStr">
        <is>
          <t>Дрожжи</t>
        </is>
      </c>
      <c r="C5" t="inlineStr">
        <is>
          <t>Сырьё</t>
        </is>
      </c>
      <c r="D5" t="inlineStr">
        <is>
          <t>кг</t>
        </is>
      </c>
      <c r="E5" t="n">
        <v>100</v>
      </c>
      <c r="F5" t="n">
        <v>160</v>
      </c>
      <c r="G5" t="n">
        <v>10</v>
      </c>
      <c r="H5">
        <f>(F5-E5)/E5*100</f>
        <v/>
      </c>
    </row>
    <row r="6">
      <c r="A6" t="inlineStr">
        <is>
          <t>Т-005</t>
        </is>
      </c>
      <c r="B6" t="inlineStr">
        <is>
          <t>Масло растительное</t>
        </is>
      </c>
      <c r="C6" t="inlineStr">
        <is>
          <t>Сырьё</t>
        </is>
      </c>
      <c r="D6" t="inlineStr">
        <is>
          <t>л</t>
        </is>
      </c>
      <c r="E6" t="n">
        <v>80</v>
      </c>
      <c r="F6" t="n">
        <v>130</v>
      </c>
      <c r="G6" t="n">
        <v>30</v>
      </c>
      <c r="H6">
        <f>(F6-E6)/E6*100</f>
        <v/>
      </c>
    </row>
    <row r="7">
      <c r="A7" t="inlineStr">
        <is>
          <t>Т-006</t>
        </is>
      </c>
      <c r="B7" t="inlineStr">
        <is>
          <t>Тесто слоеное</t>
        </is>
      </c>
      <c r="C7" t="inlineStr">
        <is>
          <t>Полуфабрикат</t>
        </is>
      </c>
      <c r="D7" t="inlineStr">
        <is>
          <t>кг</t>
        </is>
      </c>
      <c r="E7" t="n">
        <v>100</v>
      </c>
      <c r="F7" t="n">
        <v>140</v>
      </c>
      <c r="G7" t="n">
        <v>20</v>
      </c>
      <c r="H7">
        <f>(F7-E7)/E7*100</f>
        <v/>
      </c>
    </row>
    <row r="8">
      <c r="A8" t="inlineStr">
        <is>
          <t>Т-007</t>
        </is>
      </c>
      <c r="B8" t="inlineStr">
        <is>
          <t>Фарш мясной</t>
        </is>
      </c>
      <c r="C8" t="inlineStr">
        <is>
          <t>Полуфабрикат</t>
        </is>
      </c>
      <c r="D8" t="inlineStr">
        <is>
          <t>кг</t>
        </is>
      </c>
      <c r="E8" t="n">
        <v>300</v>
      </c>
      <c r="F8" t="n">
        <v>400</v>
      </c>
      <c r="G8" t="n">
        <v>15</v>
      </c>
      <c r="H8">
        <f>(F8-E8)/E8*100</f>
        <v/>
      </c>
    </row>
    <row r="9">
      <c r="A9" t="inlineStr">
        <is>
          <t>Т-008</t>
        </is>
      </c>
      <c r="B9" t="inlineStr">
        <is>
          <t>Основа для пиццы</t>
        </is>
      </c>
      <c r="C9" t="inlineStr">
        <is>
          <t>Полуфабрикат</t>
        </is>
      </c>
      <c r="D9" t="inlineStr">
        <is>
          <t>шт</t>
        </is>
      </c>
      <c r="E9" t="n">
        <v>50</v>
      </c>
      <c r="F9" t="n">
        <v>70</v>
      </c>
      <c r="G9" t="n">
        <v>30</v>
      </c>
      <c r="H9">
        <f>(F9-E9)/E9*100</f>
        <v/>
      </c>
    </row>
    <row r="10">
      <c r="A10" t="inlineStr">
        <is>
          <t>Т-009</t>
        </is>
      </c>
      <c r="B10" t="inlineStr">
        <is>
          <t>Бульон</t>
        </is>
      </c>
      <c r="C10" t="inlineStr">
        <is>
          <t>Полуфабрикат</t>
        </is>
      </c>
      <c r="D10" t="inlineStr">
        <is>
          <t>л</t>
        </is>
      </c>
      <c r="E10" t="n">
        <v>80</v>
      </c>
      <c r="F10" t="n">
        <v>90</v>
      </c>
      <c r="G10" t="n">
        <v>10</v>
      </c>
      <c r="H10">
        <f>(F10-E10)/E10*100</f>
        <v/>
      </c>
    </row>
    <row r="11">
      <c r="A11" t="inlineStr">
        <is>
          <t>Т-010</t>
        </is>
      </c>
      <c r="B11" t="inlineStr">
        <is>
          <t>Начинка ягодная</t>
        </is>
      </c>
      <c r="C11" t="inlineStr">
        <is>
          <t>Полуфабрикат</t>
        </is>
      </c>
      <c r="D11" t="inlineStr">
        <is>
          <t>кг</t>
        </is>
      </c>
      <c r="E11" t="n">
        <v>150</v>
      </c>
      <c r="F11" t="n">
        <v>240</v>
      </c>
      <c r="G11" t="n">
        <v>5</v>
      </c>
      <c r="H11">
        <f>(F11-E11)/E11*100</f>
        <v/>
      </c>
    </row>
    <row r="12">
      <c r="A12" t="inlineStr">
        <is>
          <t>Т-011</t>
        </is>
      </c>
      <c r="B12" t="inlineStr">
        <is>
          <t>Хлеб белый</t>
        </is>
      </c>
      <c r="C12" t="inlineStr">
        <is>
          <t>Готовая продукция</t>
        </is>
      </c>
      <c r="D12" t="inlineStr">
        <is>
          <t>шт</t>
        </is>
      </c>
      <c r="E12" t="n">
        <v>20</v>
      </c>
      <c r="F12" t="n">
        <v>35</v>
      </c>
      <c r="G12" t="n">
        <v>50</v>
      </c>
      <c r="H12">
        <f>(F12-E12)/E12*100</f>
        <v/>
      </c>
    </row>
    <row r="13">
      <c r="A13" t="inlineStr">
        <is>
          <t>Т-012</t>
        </is>
      </c>
      <c r="B13" t="inlineStr">
        <is>
          <t>Батон нарезной</t>
        </is>
      </c>
      <c r="C13" t="inlineStr">
        <is>
          <t>Готовая продукция</t>
        </is>
      </c>
      <c r="D13" t="inlineStr">
        <is>
          <t>шт</t>
        </is>
      </c>
      <c r="E13" t="n">
        <v>25</v>
      </c>
      <c r="F13" t="n">
        <v>30</v>
      </c>
      <c r="G13" t="n">
        <v>40</v>
      </c>
      <c r="H13">
        <f>(F13-E13)/E13*100</f>
        <v/>
      </c>
    </row>
    <row r="14">
      <c r="A14" t="inlineStr">
        <is>
          <t>Т-013</t>
        </is>
      </c>
      <c r="B14" t="inlineStr">
        <is>
          <t>Пирожок с мясом</t>
        </is>
      </c>
      <c r="C14" t="inlineStr">
        <is>
          <t>Готовая продукция</t>
        </is>
      </c>
      <c r="D14" t="inlineStr">
        <is>
          <t>шт</t>
        </is>
      </c>
      <c r="E14" t="n">
        <v>30</v>
      </c>
      <c r="F14" t="n">
        <v>60</v>
      </c>
      <c r="G14" t="n">
        <v>20</v>
      </c>
      <c r="H14">
        <f>(F14-E14)/E14*100</f>
        <v/>
      </c>
    </row>
    <row r="15">
      <c r="A15" t="inlineStr">
        <is>
          <t>Т-014</t>
        </is>
      </c>
      <c r="B15" t="inlineStr">
        <is>
          <t>Печенье овсяное</t>
        </is>
      </c>
      <c r="C15" t="inlineStr">
        <is>
          <t>Готовая продукция</t>
        </is>
      </c>
      <c r="D15" t="inlineStr">
        <is>
          <t>кг</t>
        </is>
      </c>
      <c r="E15" t="n">
        <v>120</v>
      </c>
      <c r="F15" t="n">
        <v>160</v>
      </c>
      <c r="G15" t="n">
        <v>10</v>
      </c>
      <c r="H15">
        <f>(F15-E15)/E15*100</f>
        <v/>
      </c>
    </row>
    <row r="16">
      <c r="A16" t="inlineStr">
        <is>
          <t>Т-015</t>
        </is>
      </c>
      <c r="B16" t="inlineStr">
        <is>
          <t>Торт Наполеон</t>
        </is>
      </c>
      <c r="C16" t="inlineStr">
        <is>
          <t>Готовая продукция</t>
        </is>
      </c>
      <c r="D16" t="inlineStr">
        <is>
          <t>шт</t>
        </is>
      </c>
      <c r="E16" t="n">
        <v>400</v>
      </c>
      <c r="F16" t="n">
        <v>700</v>
      </c>
      <c r="G16" t="n">
        <v>5</v>
      </c>
      <c r="H16">
        <f>(F16-E16)/E16*100</f>
        <v/>
      </c>
    </row>
    <row r="17">
      <c r="A17" t="inlineStr">
        <is>
          <t>Т-016</t>
        </is>
      </c>
      <c r="B17" t="inlineStr">
        <is>
          <t>Пакет упаковочный</t>
        </is>
      </c>
      <c r="C17" t="inlineStr">
        <is>
          <t>Расходные материалы</t>
        </is>
      </c>
      <c r="D17" t="inlineStr">
        <is>
          <t>шт</t>
        </is>
      </c>
      <c r="E17" t="n">
        <v>2</v>
      </c>
      <c r="F17" t="n">
        <v>2.3</v>
      </c>
      <c r="G17" t="n">
        <v>1000</v>
      </c>
      <c r="H17">
        <f>(F17-E17)/E17*100</f>
        <v/>
      </c>
    </row>
    <row r="18">
      <c r="A18" t="inlineStr">
        <is>
          <t>Т-017</t>
        </is>
      </c>
      <c r="B18" t="inlineStr">
        <is>
          <t>Перчатки одноразовые</t>
        </is>
      </c>
      <c r="C18" t="inlineStr">
        <is>
          <t>Расходные материалы</t>
        </is>
      </c>
      <c r="D18" t="inlineStr">
        <is>
          <t>шт</t>
        </is>
      </c>
      <c r="E18" t="n">
        <v>5</v>
      </c>
      <c r="F18" t="n">
        <v>8</v>
      </c>
      <c r="G18" t="n">
        <v>500</v>
      </c>
      <c r="H18">
        <f>(F18-E18)/E18*100</f>
        <v/>
      </c>
    </row>
    <row r="19">
      <c r="A19" t="inlineStr">
        <is>
          <t>Т-018</t>
        </is>
      </c>
      <c r="B19" t="inlineStr">
        <is>
          <t>Салфетки бумажные</t>
        </is>
      </c>
      <c r="C19" t="inlineStr">
        <is>
          <t>Расходные материалы</t>
        </is>
      </c>
      <c r="D19" t="inlineStr">
        <is>
          <t>шт</t>
        </is>
      </c>
      <c r="E19" t="n">
        <v>10</v>
      </c>
      <c r="F19" t="n">
        <v>13</v>
      </c>
      <c r="G19" t="n">
        <v>200</v>
      </c>
      <c r="H19">
        <f>(F19-E19)/E19*100</f>
        <v/>
      </c>
    </row>
    <row r="20">
      <c r="A20" t="inlineStr">
        <is>
          <t>Т-019</t>
        </is>
      </c>
      <c r="B20" t="inlineStr">
        <is>
          <t>Лента кассовая</t>
        </is>
      </c>
      <c r="C20" t="inlineStr">
        <is>
          <t>Расходные материалы</t>
        </is>
      </c>
      <c r="D20" t="inlineStr">
        <is>
          <t>шт</t>
        </is>
      </c>
      <c r="E20" t="n">
        <v>40</v>
      </c>
      <c r="F20" t="n">
        <v>55</v>
      </c>
      <c r="G20" t="n">
        <v>50</v>
      </c>
      <c r="H20">
        <f>(F20-E20)/E20*100</f>
        <v/>
      </c>
    </row>
    <row r="21">
      <c r="A21" t="inlineStr">
        <is>
          <t>Т-020</t>
        </is>
      </c>
      <c r="B21" t="inlineStr">
        <is>
          <t>Средство моющее</t>
        </is>
      </c>
      <c r="C21" t="inlineStr">
        <is>
          <t>Расходные материалы</t>
        </is>
      </c>
      <c r="D21" t="inlineStr">
        <is>
          <t>л</t>
        </is>
      </c>
      <c r="E21" t="n">
        <v>100</v>
      </c>
      <c r="F21" t="n">
        <v>115</v>
      </c>
      <c r="G21" t="n">
        <v>20</v>
      </c>
      <c r="H21">
        <f>(F21-E21)/E21*100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Код контрагента</t>
        </is>
      </c>
      <c r="B1" s="1" t="inlineStr">
        <is>
          <t>Наименование</t>
        </is>
      </c>
      <c r="C1" s="1" t="inlineStr">
        <is>
          <t>Тип</t>
        </is>
      </c>
      <c r="D1" s="1" t="inlineStr">
        <is>
          <t>ИНН</t>
        </is>
      </c>
      <c r="E1" s="1" t="inlineStr">
        <is>
          <t>Город</t>
        </is>
      </c>
      <c r="F1" s="1" t="inlineStr">
        <is>
          <t>Телефон</t>
        </is>
      </c>
      <c r="G1" s="1" t="inlineStr">
        <is>
          <t>Условия оплаты</t>
        </is>
      </c>
    </row>
    <row r="2">
      <c r="A2" t="inlineStr">
        <is>
          <t>К-001</t>
        </is>
      </c>
      <c r="B2" t="inlineStr">
        <is>
          <t>ООО Мукомол</t>
        </is>
      </c>
      <c r="C2" t="inlineStr">
        <is>
          <t>Поставщик</t>
        </is>
      </c>
      <c r="D2" t="inlineStr">
        <is>
          <t>7601</t>
        </is>
      </c>
      <c r="E2" t="inlineStr">
        <is>
          <t>Ярославль</t>
        </is>
      </c>
      <c r="F2" t="inlineStr">
        <is>
          <t>11-11</t>
        </is>
      </c>
      <c r="G2" t="n">
        <v>14</v>
      </c>
    </row>
    <row r="3">
      <c r="A3" t="inlineStr">
        <is>
          <t>К-002</t>
        </is>
      </c>
      <c r="B3" t="inlineStr">
        <is>
          <t>ЗАО СахарТорг</t>
        </is>
      </c>
      <c r="C3" t="inlineStr">
        <is>
          <t>Поставщик</t>
        </is>
      </c>
      <c r="D3" t="inlineStr">
        <is>
          <t>7602</t>
        </is>
      </c>
      <c r="E3" t="inlineStr">
        <is>
          <t>Рыбинск</t>
        </is>
      </c>
      <c r="F3" t="inlineStr">
        <is>
          <t>22-22</t>
        </is>
      </c>
      <c r="G3" t="n">
        <v>30</v>
      </c>
    </row>
    <row r="4">
      <c r="A4" t="inlineStr">
        <is>
          <t>К-009</t>
        </is>
      </c>
      <c r="B4" t="inlineStr">
        <is>
          <t>Супермаркет №1</t>
        </is>
      </c>
      <c r="C4" t="inlineStr">
        <is>
          <t>Покупатель</t>
        </is>
      </c>
      <c r="D4" t="inlineStr">
        <is>
          <t>7609</t>
        </is>
      </c>
      <c r="E4" t="inlineStr">
        <is>
          <t>Ярославль</t>
        </is>
      </c>
      <c r="F4" t="inlineStr">
        <is>
          <t>99-99</t>
        </is>
      </c>
      <c r="G4" t="n">
        <v>14</v>
      </c>
    </row>
    <row r="5">
      <c r="A5" t="inlineStr">
        <is>
          <t>К-010</t>
        </is>
      </c>
      <c r="B5" t="inlineStr">
        <is>
          <t>Сеть Магазинов У Дома</t>
        </is>
      </c>
      <c r="C5" t="inlineStr">
        <is>
          <t>Покупатель</t>
        </is>
      </c>
      <c r="D5" t="inlineStr">
        <is>
          <t>7610</t>
        </is>
      </c>
      <c r="E5" t="inlineStr">
        <is>
          <t>Рыбинск</t>
        </is>
      </c>
      <c r="F5" t="inlineStr">
        <is>
          <t>10-10</t>
        </is>
      </c>
      <c r="G5" t="n">
        <v>21</v>
      </c>
    </row>
    <row r="6">
      <c r="A6" t="inlineStr">
        <is>
          <t>К-011</t>
        </is>
      </c>
      <c r="B6" t="inlineStr">
        <is>
          <t>ИП Петров П.П.</t>
        </is>
      </c>
      <c r="C6" t="inlineStr">
        <is>
          <t>Покупатель</t>
        </is>
      </c>
      <c r="D6" t="inlineStr">
        <is>
          <t>7611</t>
        </is>
      </c>
      <c r="E6" t="inlineStr">
        <is>
          <t>Кострома</t>
        </is>
      </c>
      <c r="F6" t="inlineStr">
        <is>
          <t>65-43</t>
        </is>
      </c>
      <c r="G6" t="n">
        <v>5</v>
      </c>
    </row>
    <row r="7">
      <c r="A7" t="inlineStr">
        <is>
          <t>К-012</t>
        </is>
      </c>
      <c r="B7" t="inlineStr">
        <is>
          <t>ООО Ресторан Люкс</t>
        </is>
      </c>
      <c r="C7" t="inlineStr">
        <is>
          <t>Покупатель</t>
        </is>
      </c>
      <c r="D7" t="inlineStr">
        <is>
          <t>7612</t>
        </is>
      </c>
      <c r="E7" t="inlineStr">
        <is>
          <t>Ярославль</t>
        </is>
      </c>
      <c r="F7" t="inlineStr">
        <is>
          <t>12-12</t>
        </is>
      </c>
      <c r="G7" t="n">
        <v>0</v>
      </c>
    </row>
    <row r="8">
      <c r="A8" t="inlineStr">
        <is>
          <t>К-013</t>
        </is>
      </c>
      <c r="B8" t="inlineStr">
        <is>
          <t>Кафе Снежинка</t>
        </is>
      </c>
      <c r="C8" t="inlineStr">
        <is>
          <t>Покупатель</t>
        </is>
      </c>
      <c r="D8" t="inlineStr">
        <is>
          <t>7613</t>
        </is>
      </c>
      <c r="E8" t="inlineStr">
        <is>
          <t>Тутаев</t>
        </is>
      </c>
      <c r="F8" t="inlineStr">
        <is>
          <t>13-13</t>
        </is>
      </c>
      <c r="G8" t="n">
        <v>7</v>
      </c>
    </row>
    <row r="9">
      <c r="A9" t="inlineStr">
        <is>
          <t>К-014</t>
        </is>
      </c>
      <c r="B9" t="inlineStr">
        <is>
          <t>Столовая Завода</t>
        </is>
      </c>
      <c r="C9" t="inlineStr">
        <is>
          <t>Покупатель</t>
        </is>
      </c>
      <c r="D9" t="inlineStr">
        <is>
          <t>7614</t>
        </is>
      </c>
      <c r="E9" t="inlineStr">
        <is>
          <t>Ярославль</t>
        </is>
      </c>
      <c r="F9" t="inlineStr">
        <is>
          <t>14-14</t>
        </is>
      </c>
      <c r="G9" t="n">
        <v>30</v>
      </c>
    </row>
    <row r="10">
      <c r="A10" t="inlineStr">
        <is>
          <t>К-015</t>
        </is>
      </c>
      <c r="B10" t="inlineStr">
        <is>
          <t>ООО Пекарня</t>
        </is>
      </c>
      <c r="C10" t="inlineStr">
        <is>
          <t>Покупатель</t>
        </is>
      </c>
      <c r="D10" t="inlineStr">
        <is>
          <t>7615</t>
        </is>
      </c>
      <c r="E10" t="inlineStr">
        <is>
          <t>Москва</t>
        </is>
      </c>
      <c r="F10" t="inlineStr">
        <is>
          <t>15-15</t>
        </is>
      </c>
      <c r="G10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№ заказа</t>
        </is>
      </c>
      <c r="B1" s="1" t="inlineStr">
        <is>
          <t>Дата заказа</t>
        </is>
      </c>
      <c r="C1" s="1" t="inlineStr">
        <is>
          <t>Клиент</t>
        </is>
      </c>
      <c r="D1" s="1" t="inlineStr">
        <is>
          <t>Код товара</t>
        </is>
      </c>
      <c r="E1" s="1" t="inlineStr">
        <is>
          <t>Наименование</t>
        </is>
      </c>
      <c r="F1" s="1" t="inlineStr">
        <is>
          <t>Количество (шт.)</t>
        </is>
      </c>
      <c r="G1" s="1" t="inlineStr">
        <is>
          <t>Цена</t>
        </is>
      </c>
      <c r="H1" s="1" t="inlineStr">
        <is>
          <t>Сумма</t>
        </is>
      </c>
      <c r="I1" s="1" t="inlineStr">
        <is>
          <t>Скидка %</t>
        </is>
      </c>
      <c r="J1" s="1" t="inlineStr">
        <is>
          <t>Сумма со скидкой</t>
        </is>
      </c>
      <c r="K1" s="1" t="inlineStr">
        <is>
          <t>Статус заказа</t>
        </is>
      </c>
    </row>
    <row r="2">
      <c r="A2" t="inlineStr">
        <is>
          <t>З-001</t>
        </is>
      </c>
      <c r="B2" t="inlineStr">
        <is>
          <t>08.11.2026</t>
        </is>
      </c>
      <c r="C2" t="inlineStr">
        <is>
          <t>Супермаркет №1</t>
        </is>
      </c>
      <c r="D2" t="inlineStr">
        <is>
          <t>Т-001</t>
        </is>
      </c>
      <c r="E2">
        <f>VLOOKUP(D2,'Справочник номенклатуры'!A:B,2,FALSE)</f>
        <v/>
      </c>
      <c r="F2" t="n">
        <v>9</v>
      </c>
      <c r="G2">
        <f>VLOOKUP(D2,'Справочник номенклатуры'!A:F,6,FALSE)</f>
        <v/>
      </c>
      <c r="H2">
        <f>F2*G2</f>
        <v/>
      </c>
      <c r="I2" t="n">
        <v>1</v>
      </c>
      <c r="J2">
        <f>H2*(1-I2/100)</f>
        <v/>
      </c>
      <c r="K2" t="inlineStr">
        <is>
          <t>Отменён</t>
        </is>
      </c>
    </row>
    <row r="3">
      <c r="A3" t="inlineStr">
        <is>
          <t>З-002</t>
        </is>
      </c>
      <c r="B3" t="inlineStr">
        <is>
          <t>15.11.2026</t>
        </is>
      </c>
      <c r="C3" t="inlineStr">
        <is>
          <t>ООО Пекарня</t>
        </is>
      </c>
      <c r="D3" t="inlineStr">
        <is>
          <t>Т-010</t>
        </is>
      </c>
      <c r="E3">
        <f>VLOOKUP(D3,'Справочник номенклатуры'!A:B,2,FALSE)</f>
        <v/>
      </c>
      <c r="F3" t="n">
        <v>19</v>
      </c>
      <c r="G3">
        <f>VLOOKUP(D3,'Справочник номенклатуры'!A:F,6,FALSE)</f>
        <v/>
      </c>
      <c r="H3">
        <f>F3*G3</f>
        <v/>
      </c>
      <c r="I3" t="n">
        <v>10</v>
      </c>
      <c r="J3">
        <f>H3*(1-I3/100)</f>
        <v/>
      </c>
      <c r="K3" t="inlineStr">
        <is>
          <t>В обработке</t>
        </is>
      </c>
    </row>
    <row r="4">
      <c r="A4" t="inlineStr">
        <is>
          <t>З-003</t>
        </is>
      </c>
      <c r="B4" t="inlineStr">
        <is>
          <t>01.11.2026</t>
        </is>
      </c>
      <c r="C4" t="inlineStr">
        <is>
          <t>ООО Пекарня</t>
        </is>
      </c>
      <c r="D4" t="inlineStr">
        <is>
          <t>Т-017</t>
        </is>
      </c>
      <c r="E4">
        <f>VLOOKUP(D4,'Справочник номенклатуры'!A:B,2,FALSE)</f>
        <v/>
      </c>
      <c r="F4" t="n">
        <v>14</v>
      </c>
      <c r="G4">
        <f>VLOOKUP(D4,'Справочник номенклатуры'!A:F,6,FALSE)</f>
        <v/>
      </c>
      <c r="H4">
        <f>F4*G4</f>
        <v/>
      </c>
      <c r="I4" t="n">
        <v>10</v>
      </c>
      <c r="J4">
        <f>H4*(1-I4/100)</f>
        <v/>
      </c>
      <c r="K4" t="inlineStr">
        <is>
          <t>В обработке</t>
        </is>
      </c>
    </row>
    <row r="5">
      <c r="A5" t="inlineStr">
        <is>
          <t>З-004</t>
        </is>
      </c>
      <c r="B5" t="inlineStr">
        <is>
          <t>11.11.2026</t>
        </is>
      </c>
      <c r="C5" t="inlineStr">
        <is>
          <t>ООО Пекарня</t>
        </is>
      </c>
      <c r="D5" t="inlineStr">
        <is>
          <t>Т-008</t>
        </is>
      </c>
      <c r="E5">
        <f>VLOOKUP(D5,'Справочник номенклатуры'!A:B,2,FALSE)</f>
        <v/>
      </c>
      <c r="F5" t="n">
        <v>11</v>
      </c>
      <c r="G5">
        <f>VLOOKUP(D5,'Справочник номенклатуры'!A:F,6,FALSE)</f>
        <v/>
      </c>
      <c r="H5">
        <f>F5*G5</f>
        <v/>
      </c>
      <c r="I5" t="n">
        <v>9</v>
      </c>
      <c r="J5">
        <f>H5*(1-I5/100)</f>
        <v/>
      </c>
      <c r="K5" t="inlineStr">
        <is>
          <t>Отменён</t>
        </is>
      </c>
    </row>
    <row r="6">
      <c r="A6" t="inlineStr">
        <is>
          <t>З-005</t>
        </is>
      </c>
      <c r="B6" t="inlineStr">
        <is>
          <t>06.11.2026</t>
        </is>
      </c>
      <c r="C6" t="inlineStr">
        <is>
          <t>ИП Петров П.П.</t>
        </is>
      </c>
      <c r="D6" t="inlineStr">
        <is>
          <t>Т-003</t>
        </is>
      </c>
      <c r="E6">
        <f>VLOOKUP(D6,'Справочник номенклатуры'!A:B,2,FALSE)</f>
        <v/>
      </c>
      <c r="F6" t="n">
        <v>32</v>
      </c>
      <c r="G6">
        <f>VLOOKUP(D6,'Справочник номенклатуры'!A:F,6,FALSE)</f>
        <v/>
      </c>
      <c r="H6">
        <f>F6*G6</f>
        <v/>
      </c>
      <c r="I6" t="n">
        <v>8</v>
      </c>
      <c r="J6">
        <f>H6*(1-I6/100)</f>
        <v/>
      </c>
      <c r="K6" t="inlineStr">
        <is>
          <t>Отгружен</t>
        </is>
      </c>
    </row>
    <row r="7">
      <c r="A7" t="inlineStr">
        <is>
          <t>З-006</t>
        </is>
      </c>
      <c r="B7" t="inlineStr">
        <is>
          <t>05.11.2026</t>
        </is>
      </c>
      <c r="C7" t="inlineStr">
        <is>
          <t>Супермаркет №1</t>
        </is>
      </c>
      <c r="D7" t="inlineStr">
        <is>
          <t>Т-001</t>
        </is>
      </c>
      <c r="E7">
        <f>VLOOKUP(D7,'Справочник номенклатуры'!A:B,2,FALSE)</f>
        <v/>
      </c>
      <c r="F7" t="n">
        <v>38</v>
      </c>
      <c r="G7">
        <f>VLOOKUP(D7,'Справочник номенклатуры'!A:F,6,FALSE)</f>
        <v/>
      </c>
      <c r="H7">
        <f>F7*G7</f>
        <v/>
      </c>
      <c r="I7" t="n">
        <v>3</v>
      </c>
      <c r="J7">
        <f>H7*(1-I7/100)</f>
        <v/>
      </c>
      <c r="K7" t="inlineStr">
        <is>
          <t>Отменён</t>
        </is>
      </c>
    </row>
    <row r="8">
      <c r="A8" t="inlineStr">
        <is>
          <t>З-007</t>
        </is>
      </c>
      <c r="B8" t="inlineStr">
        <is>
          <t>12.11.2026</t>
        </is>
      </c>
      <c r="C8" t="inlineStr">
        <is>
          <t>Супермаркет №1</t>
        </is>
      </c>
      <c r="D8" t="inlineStr">
        <is>
          <t>Т-001</t>
        </is>
      </c>
      <c r="E8">
        <f>VLOOKUP(D8,'Справочник номенклатуры'!A:B,2,FALSE)</f>
        <v/>
      </c>
      <c r="F8" t="n">
        <v>8</v>
      </c>
      <c r="G8">
        <f>VLOOKUP(D8,'Справочник номенклатуры'!A:F,6,FALSE)</f>
        <v/>
      </c>
      <c r="H8">
        <f>F8*G8</f>
        <v/>
      </c>
      <c r="I8" t="n">
        <v>15</v>
      </c>
      <c r="J8">
        <f>H8*(1-I8/100)</f>
        <v/>
      </c>
      <c r="K8" t="inlineStr">
        <is>
          <t>Отгружен</t>
        </is>
      </c>
    </row>
    <row r="9">
      <c r="A9" t="inlineStr">
        <is>
          <t>З-008</t>
        </is>
      </c>
      <c r="B9" t="inlineStr">
        <is>
          <t>04.11.2026</t>
        </is>
      </c>
      <c r="C9" t="inlineStr">
        <is>
          <t>Сеть Магазинов У Дома</t>
        </is>
      </c>
      <c r="D9" t="inlineStr">
        <is>
          <t>Т-019</t>
        </is>
      </c>
      <c r="E9">
        <f>VLOOKUP(D9,'Справочник номенклатуры'!A:B,2,FALSE)</f>
        <v/>
      </c>
      <c r="F9" t="n">
        <v>21</v>
      </c>
      <c r="G9">
        <f>VLOOKUP(D9,'Справочник номенклатуры'!A:F,6,FALSE)</f>
        <v/>
      </c>
      <c r="H9">
        <f>F9*G9</f>
        <v/>
      </c>
      <c r="I9" t="n">
        <v>14</v>
      </c>
      <c r="J9">
        <f>H9*(1-I9/100)</f>
        <v/>
      </c>
      <c r="K9" t="inlineStr">
        <is>
          <t>Отгружен</t>
        </is>
      </c>
    </row>
    <row r="10">
      <c r="A10" t="inlineStr">
        <is>
          <t>З-009</t>
        </is>
      </c>
      <c r="B10" t="inlineStr">
        <is>
          <t>01.11.2026</t>
        </is>
      </c>
      <c r="C10" t="inlineStr">
        <is>
          <t>Супермаркет №1</t>
        </is>
      </c>
      <c r="D10" t="inlineStr">
        <is>
          <t>Т-012</t>
        </is>
      </c>
      <c r="E10">
        <f>VLOOKUP(D10,'Справочник номенклатуры'!A:B,2,FALSE)</f>
        <v/>
      </c>
      <c r="F10" t="n">
        <v>48</v>
      </c>
      <c r="G10">
        <f>VLOOKUP(D10,'Справочник номенклатуры'!A:F,6,FALSE)</f>
        <v/>
      </c>
      <c r="H10">
        <f>F10*G10</f>
        <v/>
      </c>
      <c r="I10" t="n">
        <v>12</v>
      </c>
      <c r="J10">
        <f>H10*(1-I10/100)</f>
        <v/>
      </c>
      <c r="K10" t="inlineStr">
        <is>
          <t>Отменён</t>
        </is>
      </c>
    </row>
    <row r="11">
      <c r="A11" t="inlineStr">
        <is>
          <t>З-010</t>
        </is>
      </c>
      <c r="B11" t="inlineStr">
        <is>
          <t>10.11.2026</t>
        </is>
      </c>
      <c r="C11" t="inlineStr">
        <is>
          <t>Столовая Завода</t>
        </is>
      </c>
      <c r="D11" t="inlineStr">
        <is>
          <t>Т-006</t>
        </is>
      </c>
      <c r="E11">
        <f>VLOOKUP(D11,'Справочник номенклатуры'!A:B,2,FALSE)</f>
        <v/>
      </c>
      <c r="F11" t="n">
        <v>26</v>
      </c>
      <c r="G11">
        <f>VLOOKUP(D11,'Справочник номенклатуры'!A:F,6,FALSE)</f>
        <v/>
      </c>
      <c r="H11">
        <f>F11*G11</f>
        <v/>
      </c>
      <c r="I11" t="n">
        <v>1</v>
      </c>
      <c r="J11">
        <f>H11*(1-I11/100)</f>
        <v/>
      </c>
      <c r="K11" t="inlineStr">
        <is>
          <t>Отменён</t>
        </is>
      </c>
    </row>
    <row r="12">
      <c r="A12" t="inlineStr">
        <is>
          <t>З-011</t>
        </is>
      </c>
      <c r="B12" t="inlineStr">
        <is>
          <t>01.11.2026</t>
        </is>
      </c>
      <c r="C12" t="inlineStr">
        <is>
          <t>ИП Петров П.П.</t>
        </is>
      </c>
      <c r="D12" t="inlineStr">
        <is>
          <t>Т-015</t>
        </is>
      </c>
      <c r="E12">
        <f>VLOOKUP(D12,'Справочник номенклатуры'!A:B,2,FALSE)</f>
        <v/>
      </c>
      <c r="F12" t="n">
        <v>44</v>
      </c>
      <c r="G12">
        <f>VLOOKUP(D12,'Справочник номенклатуры'!A:F,6,FALSE)</f>
        <v/>
      </c>
      <c r="H12">
        <f>F12*G12</f>
        <v/>
      </c>
      <c r="I12" t="n">
        <v>7</v>
      </c>
      <c r="J12">
        <f>H12*(1-I12/100)</f>
        <v/>
      </c>
      <c r="K12" t="inlineStr">
        <is>
          <t>Отменён</t>
        </is>
      </c>
    </row>
    <row r="13">
      <c r="A13" t="inlineStr">
        <is>
          <t>З-012</t>
        </is>
      </c>
      <c r="B13" t="inlineStr">
        <is>
          <t>04.11.2026</t>
        </is>
      </c>
      <c r="C13" t="inlineStr">
        <is>
          <t>ООО Ресторан Люкс</t>
        </is>
      </c>
      <c r="D13" t="inlineStr">
        <is>
          <t>Т-007</t>
        </is>
      </c>
      <c r="E13">
        <f>VLOOKUP(D13,'Справочник номенклатуры'!A:B,2,FALSE)</f>
        <v/>
      </c>
      <c r="F13" t="n">
        <v>32</v>
      </c>
      <c r="G13">
        <f>VLOOKUP(D13,'Справочник номенклатуры'!A:F,6,FALSE)</f>
        <v/>
      </c>
      <c r="H13">
        <f>F13*G13</f>
        <v/>
      </c>
      <c r="I13" t="n">
        <v>7</v>
      </c>
      <c r="J13">
        <f>H13*(1-I13/100)</f>
        <v/>
      </c>
      <c r="K13" t="inlineStr">
        <is>
          <t>Отгружен</t>
        </is>
      </c>
    </row>
    <row r="14">
      <c r="A14" t="inlineStr">
        <is>
          <t>З-013</t>
        </is>
      </c>
      <c r="B14" t="inlineStr">
        <is>
          <t>01.11.2026</t>
        </is>
      </c>
      <c r="C14" t="inlineStr">
        <is>
          <t>Кафе Снежинка</t>
        </is>
      </c>
      <c r="D14" t="inlineStr">
        <is>
          <t>Т-016</t>
        </is>
      </c>
      <c r="E14">
        <f>VLOOKUP(D14,'Справочник номенклатуры'!A:B,2,FALSE)</f>
        <v/>
      </c>
      <c r="F14" t="n">
        <v>11</v>
      </c>
      <c r="G14">
        <f>VLOOKUP(D14,'Справочник номенклатуры'!A:F,6,FALSE)</f>
        <v/>
      </c>
      <c r="H14">
        <f>F14*G14</f>
        <v/>
      </c>
      <c r="I14" t="n">
        <v>15</v>
      </c>
      <c r="J14">
        <f>H14*(1-I14/100)</f>
        <v/>
      </c>
      <c r="K14" t="inlineStr">
        <is>
          <t>Отменён</t>
        </is>
      </c>
    </row>
    <row r="15">
      <c r="A15" t="inlineStr">
        <is>
          <t>З-014</t>
        </is>
      </c>
      <c r="B15" t="inlineStr">
        <is>
          <t>14.11.2026</t>
        </is>
      </c>
      <c r="C15" t="inlineStr">
        <is>
          <t>ООО Пекарня</t>
        </is>
      </c>
      <c r="D15" t="inlineStr">
        <is>
          <t>Т-018</t>
        </is>
      </c>
      <c r="E15">
        <f>VLOOKUP(D15,'Справочник номенклатуры'!A:B,2,FALSE)</f>
        <v/>
      </c>
      <c r="F15" t="n">
        <v>40</v>
      </c>
      <c r="G15">
        <f>VLOOKUP(D15,'Справочник номенклатуры'!A:F,6,FALSE)</f>
        <v/>
      </c>
      <c r="H15">
        <f>F15*G15</f>
        <v/>
      </c>
      <c r="I15" t="n">
        <v>7</v>
      </c>
      <c r="J15">
        <f>H15*(1-I15/100)</f>
        <v/>
      </c>
      <c r="K15" t="inlineStr">
        <is>
          <t>В обработке</t>
        </is>
      </c>
    </row>
    <row r="16">
      <c r="A16" t="inlineStr">
        <is>
          <t>З-015</t>
        </is>
      </c>
      <c r="B16" t="inlineStr">
        <is>
          <t>10.11.2026</t>
        </is>
      </c>
      <c r="C16" t="inlineStr">
        <is>
          <t>Кафе Снежинка</t>
        </is>
      </c>
      <c r="D16" t="inlineStr">
        <is>
          <t>Т-007</t>
        </is>
      </c>
      <c r="E16">
        <f>VLOOKUP(D16,'Справочник номенклатуры'!A:B,2,FALSE)</f>
        <v/>
      </c>
      <c r="F16" t="n">
        <v>6</v>
      </c>
      <c r="G16">
        <f>VLOOKUP(D16,'Справочник номенклатуры'!A:F,6,FALSE)</f>
        <v/>
      </c>
      <c r="H16">
        <f>F16*G16</f>
        <v/>
      </c>
      <c r="I16" t="n">
        <v>4</v>
      </c>
      <c r="J16">
        <f>H16*(1-I16/100)</f>
        <v/>
      </c>
      <c r="K16" t="inlineStr">
        <is>
          <t>Отменён</t>
        </is>
      </c>
    </row>
    <row r="17">
      <c r="A17" t="inlineStr">
        <is>
          <t>З-016</t>
        </is>
      </c>
      <c r="B17" t="inlineStr">
        <is>
          <t>13.11.2026</t>
        </is>
      </c>
      <c r="C17" t="inlineStr">
        <is>
          <t>ООО Пекарня</t>
        </is>
      </c>
      <c r="D17" t="inlineStr">
        <is>
          <t>Т-013</t>
        </is>
      </c>
      <c r="E17">
        <f>VLOOKUP(D17,'Справочник номенклатуры'!A:B,2,FALSE)</f>
        <v/>
      </c>
      <c r="F17" t="n">
        <v>17</v>
      </c>
      <c r="G17">
        <f>VLOOKUP(D17,'Справочник номенклатуры'!A:F,6,FALSE)</f>
        <v/>
      </c>
      <c r="H17">
        <f>F17*G17</f>
        <v/>
      </c>
      <c r="I17" t="n">
        <v>7</v>
      </c>
      <c r="J17">
        <f>H17*(1-I17/100)</f>
        <v/>
      </c>
      <c r="K17" t="inlineStr">
        <is>
          <t>Новый</t>
        </is>
      </c>
    </row>
    <row r="18">
      <c r="A18" t="inlineStr">
        <is>
          <t>З-017</t>
        </is>
      </c>
      <c r="B18" t="inlineStr">
        <is>
          <t>07.11.2026</t>
        </is>
      </c>
      <c r="C18" t="inlineStr">
        <is>
          <t>ИП Петров П.П.</t>
        </is>
      </c>
      <c r="D18" t="inlineStr">
        <is>
          <t>Т-016</t>
        </is>
      </c>
      <c r="E18">
        <f>VLOOKUP(D18,'Справочник номенклатуры'!A:B,2,FALSE)</f>
        <v/>
      </c>
      <c r="F18" t="n">
        <v>50</v>
      </c>
      <c r="G18">
        <f>VLOOKUP(D18,'Справочник номенклатуры'!A:F,6,FALSE)</f>
        <v/>
      </c>
      <c r="H18">
        <f>F18*G18</f>
        <v/>
      </c>
      <c r="I18" t="n">
        <v>3</v>
      </c>
      <c r="J18">
        <f>H18*(1-I18/100)</f>
        <v/>
      </c>
      <c r="K18" t="inlineStr">
        <is>
          <t>В обработке</t>
        </is>
      </c>
    </row>
    <row r="19">
      <c r="A19" t="inlineStr">
        <is>
          <t>З-018</t>
        </is>
      </c>
      <c r="B19" t="inlineStr">
        <is>
          <t>16.11.2026</t>
        </is>
      </c>
      <c r="C19" t="inlineStr">
        <is>
          <t>Супермаркет №1</t>
        </is>
      </c>
      <c r="D19" t="inlineStr">
        <is>
          <t>Т-013</t>
        </is>
      </c>
      <c r="E19">
        <f>VLOOKUP(D19,'Справочник номенклатуры'!A:B,2,FALSE)</f>
        <v/>
      </c>
      <c r="F19" t="n">
        <v>18</v>
      </c>
      <c r="G19">
        <f>VLOOKUP(D19,'Справочник номенклатуры'!A:F,6,FALSE)</f>
        <v/>
      </c>
      <c r="H19">
        <f>F19*G19</f>
        <v/>
      </c>
      <c r="I19" t="n">
        <v>2</v>
      </c>
      <c r="J19">
        <f>H19*(1-I19/100)</f>
        <v/>
      </c>
      <c r="K19" t="inlineStr">
        <is>
          <t>Отменён</t>
        </is>
      </c>
    </row>
    <row r="20">
      <c r="A20" t="inlineStr">
        <is>
          <t>З-019</t>
        </is>
      </c>
      <c r="B20" t="inlineStr">
        <is>
          <t>12.11.2026</t>
        </is>
      </c>
      <c r="C20" t="inlineStr">
        <is>
          <t>Супермаркет №1</t>
        </is>
      </c>
      <c r="D20" t="inlineStr">
        <is>
          <t>Т-001</t>
        </is>
      </c>
      <c r="E20">
        <f>VLOOKUP(D20,'Справочник номенклатуры'!A:B,2,FALSE)</f>
        <v/>
      </c>
      <c r="F20" t="n">
        <v>22</v>
      </c>
      <c r="G20">
        <f>VLOOKUP(D20,'Справочник номенклатуры'!A:F,6,FALSE)</f>
        <v/>
      </c>
      <c r="H20">
        <f>F20*G20</f>
        <v/>
      </c>
      <c r="I20" t="n">
        <v>5</v>
      </c>
      <c r="J20">
        <f>H20*(1-I20/100)</f>
        <v/>
      </c>
      <c r="K20" t="inlineStr">
        <is>
          <t>Новый</t>
        </is>
      </c>
    </row>
    <row r="21">
      <c r="A21" t="inlineStr">
        <is>
          <t>З-020</t>
        </is>
      </c>
      <c r="B21" t="inlineStr">
        <is>
          <t>12.11.2026</t>
        </is>
      </c>
      <c r="C21" t="inlineStr">
        <is>
          <t>ООО Ресторан Люкс</t>
        </is>
      </c>
      <c r="D21" t="inlineStr">
        <is>
          <t>Т-014</t>
        </is>
      </c>
      <c r="E21">
        <f>VLOOKUP(D21,'Справочник номенклатуры'!A:B,2,FALSE)</f>
        <v/>
      </c>
      <c r="F21" t="n">
        <v>30</v>
      </c>
      <c r="G21">
        <f>VLOOKUP(D21,'Справочник номенклатуры'!A:F,6,FALSE)</f>
        <v/>
      </c>
      <c r="H21">
        <f>F21*G21</f>
        <v/>
      </c>
      <c r="I21" t="n">
        <v>9</v>
      </c>
      <c r="J21">
        <f>H21*(1-I21/100)</f>
        <v/>
      </c>
      <c r="K21" t="inlineStr">
        <is>
          <t>Отменён</t>
        </is>
      </c>
    </row>
  </sheetData>
  <dataValidations count="3">
    <dataValidation sqref="C2:C21" showDropDown="0" showInputMessage="0" showErrorMessage="0" allowBlank="1" type="list">
      <formula1>"Супермаркет №1,Сеть Магазинов У Дома,ИП Петров П.П.,ООО Ресторан Люкс,Кафе Снежинка,Столовая Завода,ООО Пекарня"</formula1>
    </dataValidation>
    <dataValidation sqref="D2:D21" showDropDown="0" showInputMessage="0" showErrorMessage="0" allowBlank="1" type="list">
      <formula1>"Т-001,Т-002,Т-003,Т-004,Т-005,Т-006,Т-007,Т-008,Т-009,Т-010,Т-011,Т-012,Т-013,Т-014,Т-015,Т-016,Т-017,Т-018,Т-019,Т-020"</formula1>
    </dataValidation>
    <dataValidation sqref="K2:K21" showDropDown="0" showInputMessage="0" showErrorMessage="0" allowBlank="1" type="list">
      <formula1>"Новый,В обработке,Отгружен,Отменён"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ВНИМАНИЕ!</t>
        </is>
      </c>
    </row>
    <row r="2">
      <c r="A2" s="2" t="inlineStr">
        <is>
          <t>Сводные таблицы (Pivot Tables) в Excel требуют интерактивности,</t>
        </is>
      </c>
    </row>
    <row r="3">
      <c r="A3" s="2" t="inlineStr">
        <is>
          <t>которую лучше создавать вручную встроенными средствами Excel.</t>
        </is>
      </c>
    </row>
    <row r="4">
      <c r="A4" s="2" t="inlineStr"/>
    </row>
    <row r="5">
      <c r="A5" s="2" t="inlineStr">
        <is>
          <t>Инструкция по созданию 1-й сводной таблицы:</t>
        </is>
      </c>
    </row>
    <row r="6">
      <c r="A6" s="2" t="inlineStr">
        <is>
          <t>1. Перейдите на лист 'Заказы', выделите всю таблицу (A1:K21)</t>
        </is>
      </c>
    </row>
    <row r="7">
      <c r="A7" s="2" t="inlineStr">
        <is>
          <t>2. Вставка -&gt; Сводная таблица -&gt; На существующий лист (выберите лист 'Анализ продаж')</t>
        </is>
      </c>
    </row>
    <row r="8">
      <c r="A8" s="2" t="inlineStr">
        <is>
          <t>3. В 'Строки' перетащите 'Клиент'</t>
        </is>
      </c>
    </row>
    <row r="9">
      <c r="A9" s="2" t="inlineStr">
        <is>
          <t>4. В 'Значения' перетащите 'Сумма со скидкой' и 'Количество заказов' (или любой текст для подсчета количества)</t>
        </is>
      </c>
    </row>
    <row r="10">
      <c r="A10" s="2" t="inlineStr">
        <is>
          <t>5. Анализ сводной таблицы -&gt; Поля, элементы и наборы -&gt; Вычисляемое поле.</t>
        </is>
      </c>
    </row>
    <row r="11">
      <c r="A11" s="2" t="inlineStr">
        <is>
          <t xml:space="preserve">   Имя: 'Средний чек', Формула: '= Сумма со скидкой / Количество заказов'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2026-10-06T13:51:40Z</dcterms:created>
  <dcterms:modified xmlns:dcterms="http://purl.org/dc/terms/" xmlns:xsi="http://www.w3.org/2001/XMLSchema-instance" xsi:type="dcterms:W3CDTF">2026-10-06T13:51:40Z</dcterms:modified>
</cp:coreProperties>
</file>