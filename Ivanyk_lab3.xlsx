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Груз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5" i="1" l="1"/>
  <c r="Q16" i="1"/>
  <c r="Q17" i="1"/>
  <c r="Q18" i="1"/>
  <c r="Q19" i="1"/>
  <c r="Q14" i="1"/>
  <c r="P19" i="1"/>
  <c r="O19" i="1"/>
  <c r="N19" i="1"/>
  <c r="P18" i="1"/>
  <c r="O18" i="1"/>
  <c r="N18" i="1"/>
  <c r="P17" i="1"/>
  <c r="O17" i="1"/>
  <c r="N17" i="1"/>
  <c r="P16" i="1"/>
  <c r="O16" i="1"/>
  <c r="N16" i="1"/>
  <c r="P15" i="1"/>
  <c r="O15" i="1"/>
  <c r="N15" i="1"/>
  <c r="P14" i="1"/>
  <c r="O14" i="1"/>
  <c r="N14" i="1"/>
  <c r="J15" i="1" l="1"/>
  <c r="L19" i="1"/>
  <c r="L18" i="1"/>
  <c r="L17" i="1"/>
  <c r="L16" i="1"/>
  <c r="K19" i="1"/>
  <c r="K18" i="1"/>
  <c r="K17" i="1"/>
  <c r="K16" i="1"/>
  <c r="L15" i="1"/>
  <c r="L14" i="1"/>
  <c r="K14" i="1"/>
  <c r="J19" i="1"/>
  <c r="J18" i="1"/>
  <c r="J17" i="1"/>
  <c r="J16" i="1"/>
  <c r="K15" i="1"/>
  <c r="J14" i="1"/>
  <c r="G19" i="1" l="1"/>
  <c r="H19" i="1" s="1"/>
  <c r="F19" i="1"/>
  <c r="E19" i="1"/>
  <c r="D19" i="1"/>
  <c r="F18" i="1"/>
  <c r="E18" i="1"/>
  <c r="D18" i="1"/>
  <c r="G18" i="1" s="1"/>
  <c r="H18" i="1" s="1"/>
  <c r="F17" i="1"/>
  <c r="E17" i="1"/>
  <c r="D17" i="1"/>
  <c r="G17" i="1" s="1"/>
  <c r="H17" i="1" s="1"/>
  <c r="F16" i="1"/>
  <c r="E16" i="1"/>
  <c r="D16" i="1"/>
  <c r="G16" i="1" s="1"/>
  <c r="H16" i="1" s="1"/>
  <c r="G15" i="1"/>
  <c r="H15" i="1" s="1"/>
  <c r="F15" i="1"/>
  <c r="E15" i="1"/>
  <c r="D15" i="1"/>
  <c r="A15" i="1"/>
  <c r="A16" i="1" s="1"/>
  <c r="A17" i="1" s="1"/>
  <c r="A18" i="1" s="1"/>
  <c r="A19" i="1" s="1"/>
  <c r="F14" i="1"/>
  <c r="E14" i="1"/>
  <c r="G14" i="1" s="1"/>
  <c r="H14" i="1" s="1"/>
  <c r="D14" i="1"/>
</calcChain>
</file>

<file path=xl/sharedStrings.xml><?xml version="1.0" encoding="utf-8"?>
<sst xmlns="http://schemas.openxmlformats.org/spreadsheetml/2006/main" count="43" uniqueCount="36">
  <si>
    <t xml:space="preserve">машина </t>
  </si>
  <si>
    <t>длина</t>
  </si>
  <si>
    <t>высота</t>
  </si>
  <si>
    <t>груз</t>
  </si>
  <si>
    <t>ширина</t>
  </si>
  <si>
    <t>количество</t>
  </si>
  <si>
    <t>габариты</t>
  </si>
  <si>
    <t>ВЫХОДНЫЕ ПАРАМЕТРЫ</t>
  </si>
  <si>
    <t>Партия</t>
  </si>
  <si>
    <t>К-во</t>
  </si>
  <si>
    <t>Количество выбор (партия 1)</t>
  </si>
  <si>
    <t>количество по ширине(партия 2)</t>
  </si>
  <si>
    <t>количество по длине (партия3)</t>
  </si>
  <si>
    <t>количество по высоте (партия 4)</t>
  </si>
  <si>
    <t>итого</t>
  </si>
  <si>
    <t>загрузка машины</t>
  </si>
  <si>
    <t>Груз не помещается!</t>
  </si>
  <si>
    <t>расположение</t>
  </si>
  <si>
    <t>вариант</t>
  </si>
  <si>
    <t>ПО ШИРИНЕ</t>
  </si>
  <si>
    <t>ПО ДЛИНЕ</t>
  </si>
  <si>
    <t>ПО ВЫСОТЕ</t>
  </si>
  <si>
    <t>ВСЕГО</t>
  </si>
  <si>
    <t>ЗАПОЛНЕНИЕ МАШИНЫ</t>
  </si>
  <si>
    <t>СВОБОДНОЕ ПРОСТРАНСТВО</t>
  </si>
  <si>
    <t>вдш</t>
  </si>
  <si>
    <t>шдв</t>
  </si>
  <si>
    <t>швд</t>
  </si>
  <si>
    <t>дшв</t>
  </si>
  <si>
    <t>двш</t>
  </si>
  <si>
    <t>вшд</t>
  </si>
  <si>
    <t>СВОБОДНЫЙ ОБЪЁМ</t>
  </si>
  <si>
    <t>По ширине</t>
  </si>
  <si>
    <t>По длине</t>
  </si>
  <si>
    <t>По высоте</t>
  </si>
  <si>
    <t>Общий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</si>
</sst>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Fill="1" applyBorder="1" applyAlignmen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topLeftCell="C1" zoomScale="80" zoomScaleNormal="80" workbookViewId="0">
      <selection activeCell="Q14" sqref="Q14"/>
    </sheetView>
  </sheetViews>
  <sheetFormatPr defaultRowHeight="15" x14ac:dyDescent="0.25"/>
  <cols>
    <col min="2" max="2" width="27.5703125" bestFit="1" customWidth="1"/>
    <col min="3" max="3" width="9.42578125" bestFit="1" customWidth="1"/>
    <col min="4" max="4" width="12.7109375" customWidth="1"/>
    <col min="5" max="5" width="11.140625" customWidth="1"/>
    <col min="6" max="6" width="11.5703125" customWidth="1"/>
    <col min="7" max="7" width="13.5703125" customWidth="1"/>
    <col min="8" max="8" width="27.5703125" customWidth="1"/>
    <col min="10" max="10" width="12.140625" customWidth="1"/>
    <col min="11" max="11" width="11.140625" customWidth="1"/>
    <col min="12" max="12" width="11.5703125" customWidth="1"/>
    <col min="14" max="14" width="11.140625" bestFit="1" customWidth="1"/>
    <col min="15" max="15" width="9.5703125" bestFit="1" customWidth="1"/>
    <col min="16" max="16" width="10.28515625" bestFit="1" customWidth="1"/>
    <col min="17" max="17" width="7.42578125" bestFit="1" customWidth="1"/>
  </cols>
  <sheetData>
    <row r="1" spans="1:17" x14ac:dyDescent="0.25">
      <c r="B1" t="s">
        <v>0</v>
      </c>
      <c r="C1" t="s">
        <v>6</v>
      </c>
    </row>
    <row r="2" spans="1:17" x14ac:dyDescent="0.25">
      <c r="B2" t="s">
        <v>4</v>
      </c>
      <c r="C2">
        <v>3</v>
      </c>
      <c r="E2" s="3" t="s">
        <v>7</v>
      </c>
      <c r="F2" s="3"/>
      <c r="G2" s="3"/>
    </row>
    <row r="3" spans="1:17" x14ac:dyDescent="0.25">
      <c r="B3" t="s">
        <v>1</v>
      </c>
      <c r="C3">
        <v>3.5</v>
      </c>
      <c r="E3" s="3" t="s">
        <v>8</v>
      </c>
      <c r="F3" s="3"/>
      <c r="G3" s="3"/>
      <c r="H3" t="s">
        <v>9</v>
      </c>
    </row>
    <row r="4" spans="1:17" x14ac:dyDescent="0.25">
      <c r="B4" t="s">
        <v>2</v>
      </c>
      <c r="C4">
        <v>2</v>
      </c>
      <c r="E4" s="4" t="s">
        <v>10</v>
      </c>
      <c r="F4" s="4"/>
      <c r="G4" s="4"/>
      <c r="H4">
        <v>52</v>
      </c>
    </row>
    <row r="5" spans="1:17" x14ac:dyDescent="0.25">
      <c r="E5" s="4" t="s">
        <v>11</v>
      </c>
      <c r="F5" s="4"/>
      <c r="G5" s="4"/>
    </row>
    <row r="6" spans="1:17" x14ac:dyDescent="0.25">
      <c r="B6" t="s">
        <v>3</v>
      </c>
      <c r="C6" t="s">
        <v>6</v>
      </c>
      <c r="E6" s="4" t="s">
        <v>12</v>
      </c>
      <c r="F6" s="4"/>
      <c r="G6" s="4"/>
      <c r="H6">
        <v>42</v>
      </c>
    </row>
    <row r="7" spans="1:17" x14ac:dyDescent="0.25">
      <c r="B7" t="s">
        <v>4</v>
      </c>
      <c r="C7">
        <v>0.45</v>
      </c>
      <c r="E7" s="5" t="s">
        <v>13</v>
      </c>
      <c r="F7" s="5"/>
      <c r="G7" s="5"/>
    </row>
    <row r="8" spans="1:17" x14ac:dyDescent="0.25">
      <c r="B8" t="s">
        <v>1</v>
      </c>
      <c r="C8">
        <v>1.9</v>
      </c>
      <c r="E8" t="s">
        <v>14</v>
      </c>
      <c r="H8">
        <v>94</v>
      </c>
    </row>
    <row r="9" spans="1:17" x14ac:dyDescent="0.25">
      <c r="B9" t="s">
        <v>2</v>
      </c>
      <c r="C9">
        <v>0.22</v>
      </c>
      <c r="E9" s="4" t="s">
        <v>15</v>
      </c>
      <c r="F9" s="4"/>
      <c r="H9" s="1">
        <v>0.84199999999999997</v>
      </c>
    </row>
    <row r="11" spans="1:17" x14ac:dyDescent="0.25">
      <c r="B11" t="s">
        <v>5</v>
      </c>
      <c r="C11">
        <v>100</v>
      </c>
      <c r="D11">
        <v>6</v>
      </c>
      <c r="E11" s="4" t="s">
        <v>16</v>
      </c>
      <c r="F11" s="4"/>
      <c r="G11" s="4"/>
    </row>
    <row r="12" spans="1:17" x14ac:dyDescent="0.25">
      <c r="J12" s="3" t="s">
        <v>24</v>
      </c>
      <c r="K12" s="3"/>
      <c r="L12" s="3"/>
      <c r="N12" s="3" t="s">
        <v>31</v>
      </c>
      <c r="O12" s="3"/>
      <c r="P12" s="3"/>
      <c r="Q12" s="3"/>
    </row>
    <row r="13" spans="1:17" x14ac:dyDescent="0.25"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J13" t="s">
        <v>19</v>
      </c>
      <c r="K13" t="s">
        <v>20</v>
      </c>
      <c r="L13" t="s">
        <v>21</v>
      </c>
      <c r="N13" t="s">
        <v>32</v>
      </c>
      <c r="O13" t="s">
        <v>33</v>
      </c>
      <c r="P13" t="s">
        <v>34</v>
      </c>
      <c r="Q13" t="s">
        <v>35</v>
      </c>
    </row>
    <row r="14" spans="1:17" x14ac:dyDescent="0.25">
      <c r="A14">
        <v>1</v>
      </c>
      <c r="B14" t="s">
        <v>26</v>
      </c>
      <c r="C14">
        <v>1</v>
      </c>
      <c r="D14">
        <f>TRUNC(C2/C7,0)</f>
        <v>6</v>
      </c>
      <c r="E14">
        <f>TRUNC($C$3/C8,0)</f>
        <v>1</v>
      </c>
      <c r="F14">
        <f>TRUNC($C$4/C9,0)</f>
        <v>9</v>
      </c>
      <c r="G14">
        <f>D14*E14*F14</f>
        <v>54</v>
      </c>
      <c r="H14" s="1">
        <f>(($C$7*$C$8*$C$9)*G14)/($C$2*$C$3*$C$4)</f>
        <v>0.48368571428571422</v>
      </c>
      <c r="J14">
        <f>IF(G14=0, $C$2, ROUND($C$2 - D14 * $C$7, 2))</f>
        <v>0.3</v>
      </c>
      <c r="K14">
        <f>IF(G14=0, $C$3, ROUND($C$3 - E14 * $C$8, 2))</f>
        <v>1.6</v>
      </c>
      <c r="L14">
        <f>IF(G14=0, $C$4, ROUND($C$4 - F14 * $C$9, 2))</f>
        <v>0.02</v>
      </c>
      <c r="N14" s="6" t="str">
        <f>CONCATENATE(J14*C3*C4)</f>
        <v>2,1</v>
      </c>
      <c r="O14" s="6" t="str">
        <f>CONCATENATE(L14*(C3-K14)*(C2-J14))</f>
        <v>0,1026</v>
      </c>
      <c r="P14" s="6" t="str">
        <f>CONCATENATE(K14*($C$2-J14)*$C$4)</f>
        <v>8,64</v>
      </c>
      <c r="Q14" s="6">
        <f>ROUND((J14*$C$3*$C$4) + (L14*($C$3-K14)*($C$2-J14)) + (K14*($C$2-J14)*$C$4), 3)</f>
        <v>10.843</v>
      </c>
    </row>
    <row r="15" spans="1:17" x14ac:dyDescent="0.25">
      <c r="A15">
        <f>A14-1</f>
        <v>0</v>
      </c>
      <c r="B15" t="s">
        <v>25</v>
      </c>
      <c r="C15">
        <v>2</v>
      </c>
      <c r="D15">
        <f>TRUNC(C2/C9,0)</f>
        <v>13</v>
      </c>
      <c r="E15">
        <f>TRUNC($C$3/C8,0)</f>
        <v>1</v>
      </c>
      <c r="F15">
        <f>TRUNC($C$4/C7,0)</f>
        <v>4</v>
      </c>
      <c r="G15">
        <f t="shared" ref="G15:G19" si="0">D15*E15*F15</f>
        <v>52</v>
      </c>
      <c r="H15" s="1">
        <f t="shared" ref="H15:H19" si="1">(($C$7*$C$8*$C$9)*G15)/($C$2*$C$3*$C$4)</f>
        <v>0.46577142857142856</v>
      </c>
      <c r="J15">
        <f>IF(G15=0, $C$2, ROUND($C$2 - D15 * $C$9, 2))</f>
        <v>0.14000000000000001</v>
      </c>
      <c r="K15">
        <f>IF(G15=0, $C$3, ROUND($C$3 - E15 * $C$8, 2))</f>
        <v>1.6</v>
      </c>
      <c r="L15">
        <f>IF(G15=0, $C$4, ROUND($C$4 - F15 * $C$7, 2))</f>
        <v>0.2</v>
      </c>
      <c r="N15" s="6" t="str">
        <f>CONCATENATE(J15*$C$3*$C$4)</f>
        <v>0,98</v>
      </c>
      <c r="O15" s="6" t="str">
        <f>CONCATENATE(L15*($C$3-K15)*($C$2-J15))</f>
        <v>1,0868</v>
      </c>
      <c r="P15" s="6" t="str">
        <f t="shared" ref="P15:P19" si="2">CONCATENATE(K15*($C$2-J15)*$C$4)</f>
        <v>9,152</v>
      </c>
      <c r="Q15" s="6">
        <f t="shared" ref="Q15:Q19" si="3">ROUND((J15*$C$3*$C$4) + (L15*($C$3-K15)*($C$2-J15)) + (K15*($C$2-J15)*$C$4), 3)</f>
        <v>11.218999999999999</v>
      </c>
    </row>
    <row r="16" spans="1:17" ht="16.5" x14ac:dyDescent="0.3">
      <c r="A16">
        <f>A15-1</f>
        <v>-1</v>
      </c>
      <c r="B16" s="2" t="s">
        <v>27</v>
      </c>
      <c r="C16">
        <v>3</v>
      </c>
      <c r="D16">
        <f>TRUNC(C2/C7,0)</f>
        <v>6</v>
      </c>
      <c r="E16">
        <f>TRUNC($C$3/C9,0)</f>
        <v>15</v>
      </c>
      <c r="F16">
        <f>TRUNC($C$4/C8,0)</f>
        <v>1</v>
      </c>
      <c r="G16">
        <f t="shared" si="0"/>
        <v>90</v>
      </c>
      <c r="H16" s="1">
        <f t="shared" si="1"/>
        <v>0.80614285714285705</v>
      </c>
      <c r="J16">
        <f>IF(G16=0, $C$2, ROUND($C$2 - D16 * $C$7, 2))</f>
        <v>0.3</v>
      </c>
      <c r="K16">
        <f>IF(G16=0, $C$3, ROUND($C$3 - E16 * $C$9, 2))</f>
        <v>0.2</v>
      </c>
      <c r="L16">
        <f>IF(G16=0, $C$4, ROUND($C$4 - F16 * $C$8, 2))</f>
        <v>0.1</v>
      </c>
      <c r="N16" s="6" t="str">
        <f t="shared" ref="N16:N19" si="4">CONCATENATE(J16*$C$3*$C$4)</f>
        <v>2,1</v>
      </c>
      <c r="O16" s="6" t="str">
        <f t="shared" ref="O16:O19" si="5">CONCATENATE(L16*($C$3-K16)*($C$2-J16))</f>
        <v>0,891</v>
      </c>
      <c r="P16" s="6" t="str">
        <f t="shared" si="2"/>
        <v>1,08</v>
      </c>
      <c r="Q16" s="6">
        <f t="shared" si="3"/>
        <v>4.0709999999999997</v>
      </c>
    </row>
    <row r="17" spans="1:17" x14ac:dyDescent="0.25">
      <c r="A17">
        <f>A16-1</f>
        <v>-2</v>
      </c>
      <c r="B17" t="s">
        <v>28</v>
      </c>
      <c r="C17">
        <v>4</v>
      </c>
      <c r="D17">
        <f>TRUNC(C2/C8,0)</f>
        <v>1</v>
      </c>
      <c r="E17">
        <f>TRUNC($C$3/C7,0)</f>
        <v>7</v>
      </c>
      <c r="F17">
        <f>TRUNC($C$4/C9,0)</f>
        <v>9</v>
      </c>
      <c r="G17">
        <f t="shared" si="0"/>
        <v>63</v>
      </c>
      <c r="H17" s="1">
        <f t="shared" si="1"/>
        <v>0.56429999999999991</v>
      </c>
      <c r="J17">
        <f>IF(G17=0, $C$2, ROUND($C$2 - D17 * $C$8, 2))</f>
        <v>1.1000000000000001</v>
      </c>
      <c r="K17">
        <f>IF(G17=0, $C$3, ROUND($C$3 - E17 * $C$7, 2))</f>
        <v>0.35</v>
      </c>
      <c r="L17">
        <f>IF(G17=0, $C$4, ROUND($C$4 - F17 * $C$9, 2))</f>
        <v>0.02</v>
      </c>
      <c r="N17" s="6" t="str">
        <f t="shared" si="4"/>
        <v>7,7</v>
      </c>
      <c r="O17" s="6" t="str">
        <f t="shared" si="5"/>
        <v>0,1197</v>
      </c>
      <c r="P17" s="6" t="str">
        <f t="shared" si="2"/>
        <v>1,33</v>
      </c>
      <c r="Q17" s="6">
        <f t="shared" si="3"/>
        <v>9.15</v>
      </c>
    </row>
    <row r="18" spans="1:17" x14ac:dyDescent="0.25">
      <c r="A18">
        <f t="shared" ref="A18:A19" si="6">A17-1</f>
        <v>-3</v>
      </c>
      <c r="B18" t="s">
        <v>29</v>
      </c>
      <c r="C18">
        <v>5</v>
      </c>
      <c r="D18">
        <f>TRUNC(C2/C8,0)</f>
        <v>1</v>
      </c>
      <c r="E18">
        <f>TRUNC($C$3/C9,0)</f>
        <v>15</v>
      </c>
      <c r="F18">
        <f>TRUNC($C$4/C7,0)</f>
        <v>4</v>
      </c>
      <c r="G18">
        <f t="shared" si="0"/>
        <v>60</v>
      </c>
      <c r="H18" s="1">
        <f t="shared" si="1"/>
        <v>0.53742857142857137</v>
      </c>
      <c r="J18">
        <f>IF(G18=0, $C$2, ROUND($C$2 - D18 * $C$8, 2))</f>
        <v>1.1000000000000001</v>
      </c>
      <c r="K18">
        <f>IF(G18=0, $C$3, ROUND($C$3 - E18 * $C$9, 2))</f>
        <v>0.2</v>
      </c>
      <c r="L18">
        <f>IF(G18=0, $C$4, ROUND($C$4 - F18 * $C$7, 2))</f>
        <v>0.2</v>
      </c>
      <c r="N18" s="6" t="str">
        <f t="shared" si="4"/>
        <v>7,7</v>
      </c>
      <c r="O18" s="6" t="str">
        <f t="shared" si="5"/>
        <v>1,254</v>
      </c>
      <c r="P18" s="6" t="str">
        <f t="shared" si="2"/>
        <v>0,76</v>
      </c>
      <c r="Q18" s="6">
        <f t="shared" si="3"/>
        <v>9.7140000000000004</v>
      </c>
    </row>
    <row r="19" spans="1:17" ht="16.5" x14ac:dyDescent="0.3">
      <c r="A19">
        <f t="shared" si="6"/>
        <v>-4</v>
      </c>
      <c r="B19" s="2" t="s">
        <v>30</v>
      </c>
      <c r="C19">
        <v>6</v>
      </c>
      <c r="D19">
        <f>TRUNC(C2/C9,0)</f>
        <v>13</v>
      </c>
      <c r="E19">
        <f>TRUNC($C$3/C7,0)</f>
        <v>7</v>
      </c>
      <c r="F19">
        <f>TRUNC($C$4/C8,0)</f>
        <v>1</v>
      </c>
      <c r="G19">
        <f t="shared" si="0"/>
        <v>91</v>
      </c>
      <c r="H19" s="1">
        <f t="shared" si="1"/>
        <v>0.81510000000000005</v>
      </c>
      <c r="J19">
        <f>IF(G19=0, $C$2, ROUND($C$2 - D19 * $C$9, 2))</f>
        <v>0.14000000000000001</v>
      </c>
      <c r="K19">
        <f>IF(G19=0, $C$3, ROUND($C$3 - E19 * $C$7, 2))</f>
        <v>0.35</v>
      </c>
      <c r="L19">
        <f>IF(G19=0, $C$4, ROUND($C$4 - F19 * $C$8, 2))</f>
        <v>0.1</v>
      </c>
      <c r="N19" s="6" t="str">
        <f t="shared" si="4"/>
        <v>0,98</v>
      </c>
      <c r="O19" s="6" t="str">
        <f t="shared" si="5"/>
        <v>0,9009</v>
      </c>
      <c r="P19" s="6" t="str">
        <f t="shared" si="2"/>
        <v>2,002</v>
      </c>
      <c r="Q19" s="6">
        <f t="shared" si="3"/>
        <v>3.883</v>
      </c>
    </row>
  </sheetData>
  <mergeCells count="10">
    <mergeCell ref="N12:Q12"/>
    <mergeCell ref="J12:L12"/>
    <mergeCell ref="E9:F9"/>
    <mergeCell ref="E11:G11"/>
    <mergeCell ref="E2:G2"/>
    <mergeCell ref="E3:G3"/>
    <mergeCell ref="E4:G4"/>
    <mergeCell ref="E5:G5"/>
    <mergeCell ref="E6:G6"/>
    <mergeCell ref="E7:G7"/>
  </mergeCells>
  <pageMargins left="0.7" right="0.7" top="0.75" bottom="0.75" header="0.3" footer="0.3"/>
  <pageSetup paperSize="9" orientation="portrait" horizontalDpi="200" verticalDpi="200" r:id="rId1"/>
  <ignoredErrors>
    <ignoredError sqref="K1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Груз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2026-05-15T15:39:52Z</dcterms:modified>
</cp:coreProperties>
</file>