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 номенклатуры" sheetId="1" state="visible" r:id="rId1"/>
    <sheet xmlns:r="http://schemas.openxmlformats.org/officeDocument/2006/relationships" name="Справочник контрагент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9" customWidth="1" min="4" max="4"/>
    <col width="21" customWidth="1" min="5" max="5"/>
    <col width="21" customWidth="1" min="6" max="6"/>
    <col width="27" customWidth="1" min="7" max="7"/>
    <col width="20" customWidth="1" min="8" max="8"/>
  </cols>
  <sheetData>
    <row r="1">
      <c r="A1" s="1" t="inlineStr">
        <is>
          <t>Код товара</t>
        </is>
      </c>
      <c r="B1" s="1" t="inlineStr">
        <is>
          <t>Наименование товара</t>
        </is>
      </c>
      <c r="C1" s="1" t="inlineStr">
        <is>
          <t>Категория</t>
        </is>
      </c>
      <c r="D1" s="1" t="inlineStr">
        <is>
          <t>Единица измерения</t>
        </is>
      </c>
      <c r="E1" s="1" t="inlineStr">
        <is>
          <t>Цена закупки (руб.)</t>
        </is>
      </c>
      <c r="F1" s="1" t="inlineStr">
        <is>
          <t>Цена продажи (руб.)</t>
        </is>
      </c>
      <c r="G1" s="1" t="inlineStr">
        <is>
          <t>Минимальный остаток (шт.)</t>
        </is>
      </c>
      <c r="H1" s="1" t="inlineStr">
        <is>
          <t>Наценка, %</t>
        </is>
      </c>
    </row>
    <row r="2">
      <c r="A2" t="inlineStr">
        <is>
          <t>Т-001</t>
        </is>
      </c>
      <c r="B2" t="inlineStr">
        <is>
          <t>Мука пшеничная</t>
        </is>
      </c>
      <c r="C2" t="inlineStr">
        <is>
          <t>Сырьё</t>
        </is>
      </c>
      <c r="D2" t="inlineStr">
        <is>
          <t>кг</t>
        </is>
      </c>
      <c r="E2" t="n">
        <v>30</v>
      </c>
      <c r="F2" t="n">
        <v>35</v>
      </c>
      <c r="G2" t="n">
        <v>100</v>
      </c>
      <c r="H2">
        <f>(F2-E2)/E2*100</f>
        <v/>
      </c>
    </row>
    <row r="3">
      <c r="A3" t="inlineStr">
        <is>
          <t>Т-002</t>
        </is>
      </c>
      <c r="B3" t="inlineStr">
        <is>
          <t>Сахар</t>
        </is>
      </c>
      <c r="C3" t="inlineStr">
        <is>
          <t>Сырьё</t>
        </is>
      </c>
      <c r="D3" t="inlineStr">
        <is>
          <t>кг</t>
        </is>
      </c>
      <c r="E3" t="n">
        <v>40</v>
      </c>
      <c r="F3" t="n">
        <v>45</v>
      </c>
      <c r="G3" t="n">
        <v>50</v>
      </c>
      <c r="H3">
        <f>(F3-E3)/E3*100</f>
        <v/>
      </c>
    </row>
    <row r="4">
      <c r="A4" t="inlineStr">
        <is>
          <t>Т-003</t>
        </is>
      </c>
      <c r="B4" t="inlineStr">
        <is>
          <t>Соль</t>
        </is>
      </c>
      <c r="C4" t="inlineStr">
        <is>
          <t>Сырьё</t>
        </is>
      </c>
      <c r="D4" t="inlineStr">
        <is>
          <t>кг</t>
        </is>
      </c>
      <c r="E4" t="n">
        <v>15</v>
      </c>
      <c r="F4" t="n">
        <v>20</v>
      </c>
      <c r="G4" t="n">
        <v>20</v>
      </c>
      <c r="H4">
        <f>(F4-E4)/E4*100</f>
        <v/>
      </c>
    </row>
    <row r="5">
      <c r="A5" t="inlineStr">
        <is>
          <t>Т-004</t>
        </is>
      </c>
      <c r="B5" t="inlineStr">
        <is>
          <t>Дрожжи</t>
        </is>
      </c>
      <c r="C5" t="inlineStr">
        <is>
          <t>Сырьё</t>
        </is>
      </c>
      <c r="D5" t="inlineStr">
        <is>
          <t>кг</t>
        </is>
      </c>
      <c r="E5" t="n">
        <v>100</v>
      </c>
      <c r="F5" t="n">
        <v>160</v>
      </c>
      <c r="G5" t="n">
        <v>10</v>
      </c>
      <c r="H5">
        <f>(F5-E5)/E5*100</f>
        <v/>
      </c>
    </row>
    <row r="6">
      <c r="A6" t="inlineStr">
        <is>
          <t>Т-005</t>
        </is>
      </c>
      <c r="B6" t="inlineStr">
        <is>
          <t>Масло растительное</t>
        </is>
      </c>
      <c r="C6" t="inlineStr">
        <is>
          <t>Сырьё</t>
        </is>
      </c>
      <c r="D6" t="inlineStr">
        <is>
          <t>л</t>
        </is>
      </c>
      <c r="E6" t="n">
        <v>80</v>
      </c>
      <c r="F6" t="n">
        <v>130</v>
      </c>
      <c r="G6" t="n">
        <v>30</v>
      </c>
      <c r="H6">
        <f>(F6-E6)/E6*100</f>
        <v/>
      </c>
    </row>
    <row r="7">
      <c r="A7" t="inlineStr">
        <is>
          <t>Т-006</t>
        </is>
      </c>
      <c r="B7" t="inlineStr">
        <is>
          <t>Тесто слоеное</t>
        </is>
      </c>
      <c r="C7" t="inlineStr">
        <is>
          <t>Полуфабрикат</t>
        </is>
      </c>
      <c r="D7" t="inlineStr">
        <is>
          <t>кг</t>
        </is>
      </c>
      <c r="E7" t="n">
        <v>100</v>
      </c>
      <c r="F7" t="n">
        <v>140</v>
      </c>
      <c r="G7" t="n">
        <v>20</v>
      </c>
      <c r="H7">
        <f>(F7-E7)/E7*100</f>
        <v/>
      </c>
    </row>
    <row r="8">
      <c r="A8" t="inlineStr">
        <is>
          <t>Т-007</t>
        </is>
      </c>
      <c r="B8" t="inlineStr">
        <is>
          <t>Фарш мясной</t>
        </is>
      </c>
      <c r="C8" t="inlineStr">
        <is>
          <t>Полуфабрикат</t>
        </is>
      </c>
      <c r="D8" t="inlineStr">
        <is>
          <t>кг</t>
        </is>
      </c>
      <c r="E8" t="n">
        <v>300</v>
      </c>
      <c r="F8" t="n">
        <v>400</v>
      </c>
      <c r="G8" t="n">
        <v>15</v>
      </c>
      <c r="H8">
        <f>(F8-E8)/E8*100</f>
        <v/>
      </c>
    </row>
    <row r="9">
      <c r="A9" t="inlineStr">
        <is>
          <t>Т-008</t>
        </is>
      </c>
      <c r="B9" t="inlineStr">
        <is>
          <t>Основа для пиццы</t>
        </is>
      </c>
      <c r="C9" t="inlineStr">
        <is>
          <t>Полуфабрикат</t>
        </is>
      </c>
      <c r="D9" t="inlineStr">
        <is>
          <t>шт</t>
        </is>
      </c>
      <c r="E9" t="n">
        <v>50</v>
      </c>
      <c r="F9" t="n">
        <v>70</v>
      </c>
      <c r="G9" t="n">
        <v>30</v>
      </c>
      <c r="H9">
        <f>(F9-E9)/E9*100</f>
        <v/>
      </c>
    </row>
    <row r="10">
      <c r="A10" t="inlineStr">
        <is>
          <t>Т-009</t>
        </is>
      </c>
      <c r="B10" t="inlineStr">
        <is>
          <t>Бульон</t>
        </is>
      </c>
      <c r="C10" t="inlineStr">
        <is>
          <t>Полуфабрикат</t>
        </is>
      </c>
      <c r="D10" t="inlineStr">
        <is>
          <t>л</t>
        </is>
      </c>
      <c r="E10" t="n">
        <v>80</v>
      </c>
      <c r="F10" t="n">
        <v>90</v>
      </c>
      <c r="G10" t="n">
        <v>10</v>
      </c>
      <c r="H10">
        <f>(F10-E10)/E10*100</f>
        <v/>
      </c>
    </row>
    <row r="11">
      <c r="A11" t="inlineStr">
        <is>
          <t>Т-010</t>
        </is>
      </c>
      <c r="B11" t="inlineStr">
        <is>
          <t>Начинка ягодная</t>
        </is>
      </c>
      <c r="C11" t="inlineStr">
        <is>
          <t>Полуфабрикат</t>
        </is>
      </c>
      <c r="D11" t="inlineStr">
        <is>
          <t>кг</t>
        </is>
      </c>
      <c r="E11" t="n">
        <v>150</v>
      </c>
      <c r="F11" t="n">
        <v>240</v>
      </c>
      <c r="G11" t="n">
        <v>5</v>
      </c>
      <c r="H11">
        <f>(F11-E11)/E11*100</f>
        <v/>
      </c>
    </row>
    <row r="12">
      <c r="A12" t="inlineStr">
        <is>
          <t>Т-011</t>
        </is>
      </c>
      <c r="B12" t="inlineStr">
        <is>
          <t>Хлеб белый</t>
        </is>
      </c>
      <c r="C12" t="inlineStr">
        <is>
          <t>Готовая продукция</t>
        </is>
      </c>
      <c r="D12" t="inlineStr">
        <is>
          <t>шт</t>
        </is>
      </c>
      <c r="E12" t="n">
        <v>20</v>
      </c>
      <c r="F12" t="n">
        <v>35</v>
      </c>
      <c r="G12" t="n">
        <v>50</v>
      </c>
      <c r="H12">
        <f>(F12-E12)/E12*100</f>
        <v/>
      </c>
    </row>
    <row r="13">
      <c r="A13" t="inlineStr">
        <is>
          <t>Т-012</t>
        </is>
      </c>
      <c r="B13" t="inlineStr">
        <is>
          <t>Батон нарезной</t>
        </is>
      </c>
      <c r="C13" t="inlineStr">
        <is>
          <t>Готовая продукция</t>
        </is>
      </c>
      <c r="D13" t="inlineStr">
        <is>
          <t>шт</t>
        </is>
      </c>
      <c r="E13" t="n">
        <v>25</v>
      </c>
      <c r="F13" t="n">
        <v>30</v>
      </c>
      <c r="G13" t="n">
        <v>40</v>
      </c>
      <c r="H13">
        <f>(F13-E13)/E13*100</f>
        <v/>
      </c>
    </row>
    <row r="14">
      <c r="A14" t="inlineStr">
        <is>
          <t>Т-013</t>
        </is>
      </c>
      <c r="B14" t="inlineStr">
        <is>
          <t>Пирожок с мясом</t>
        </is>
      </c>
      <c r="C14" t="inlineStr">
        <is>
          <t>Готовая продукция</t>
        </is>
      </c>
      <c r="D14" t="inlineStr">
        <is>
          <t>шт</t>
        </is>
      </c>
      <c r="E14" t="n">
        <v>30</v>
      </c>
      <c r="F14" t="n">
        <v>60</v>
      </c>
      <c r="G14" t="n">
        <v>20</v>
      </c>
      <c r="H14">
        <f>(F14-E14)/E14*100</f>
        <v/>
      </c>
    </row>
    <row r="15">
      <c r="A15" t="inlineStr">
        <is>
          <t>Т-014</t>
        </is>
      </c>
      <c r="B15" t="inlineStr">
        <is>
          <t>Печенье овсяное</t>
        </is>
      </c>
      <c r="C15" t="inlineStr">
        <is>
          <t>Готовая продукция</t>
        </is>
      </c>
      <c r="D15" t="inlineStr">
        <is>
          <t>кг</t>
        </is>
      </c>
      <c r="E15" t="n">
        <v>120</v>
      </c>
      <c r="F15" t="n">
        <v>160</v>
      </c>
      <c r="G15" t="n">
        <v>10</v>
      </c>
      <c r="H15">
        <f>(F15-E15)/E15*100</f>
        <v/>
      </c>
    </row>
    <row r="16">
      <c r="A16" t="inlineStr">
        <is>
          <t>Т-015</t>
        </is>
      </c>
      <c r="B16" t="inlineStr">
        <is>
          <t>Торт Наполеон</t>
        </is>
      </c>
      <c r="C16" t="inlineStr">
        <is>
          <t>Готовая продукция</t>
        </is>
      </c>
      <c r="D16" t="inlineStr">
        <is>
          <t>шт</t>
        </is>
      </c>
      <c r="E16" t="n">
        <v>400</v>
      </c>
      <c r="F16" t="n">
        <v>700</v>
      </c>
      <c r="G16" t="n">
        <v>5</v>
      </c>
      <c r="H16">
        <f>(F16-E16)/E16*100</f>
        <v/>
      </c>
    </row>
    <row r="17">
      <c r="A17" t="inlineStr">
        <is>
          <t>Т-016</t>
        </is>
      </c>
      <c r="B17" t="inlineStr">
        <is>
          <t>Пакет упаковочный</t>
        </is>
      </c>
      <c r="C17" t="inlineStr">
        <is>
          <t>Расходные материалы</t>
        </is>
      </c>
      <c r="D17" t="inlineStr">
        <is>
          <t>шт</t>
        </is>
      </c>
      <c r="E17" t="n">
        <v>2</v>
      </c>
      <c r="F17" t="n">
        <v>2.3</v>
      </c>
      <c r="G17" t="n">
        <v>1000</v>
      </c>
      <c r="H17">
        <f>(F17-E17)/E17*100</f>
        <v/>
      </c>
    </row>
    <row r="18">
      <c r="A18" t="inlineStr">
        <is>
          <t>Т-017</t>
        </is>
      </c>
      <c r="B18" t="inlineStr">
        <is>
          <t>Перчатки одноразовые</t>
        </is>
      </c>
      <c r="C18" t="inlineStr">
        <is>
          <t>Расходные материалы</t>
        </is>
      </c>
      <c r="D18" t="inlineStr">
        <is>
          <t>шт</t>
        </is>
      </c>
      <c r="E18" t="n">
        <v>5</v>
      </c>
      <c r="F18" t="n">
        <v>8</v>
      </c>
      <c r="G18" t="n">
        <v>500</v>
      </c>
      <c r="H18">
        <f>(F18-E18)/E18*100</f>
        <v/>
      </c>
    </row>
    <row r="19">
      <c r="A19" t="inlineStr">
        <is>
          <t>Т-018</t>
        </is>
      </c>
      <c r="B19" t="inlineStr">
        <is>
          <t>Салфетки бумажные</t>
        </is>
      </c>
      <c r="C19" t="inlineStr">
        <is>
          <t>Расходные материалы</t>
        </is>
      </c>
      <c r="D19" t="inlineStr">
        <is>
          <t>шт</t>
        </is>
      </c>
      <c r="E19" t="n">
        <v>10</v>
      </c>
      <c r="F19" t="n">
        <v>13</v>
      </c>
      <c r="G19" t="n">
        <v>200</v>
      </c>
      <c r="H19">
        <f>(F19-E19)/E19*100</f>
        <v/>
      </c>
    </row>
    <row r="20">
      <c r="A20" t="inlineStr">
        <is>
          <t>Т-019</t>
        </is>
      </c>
      <c r="B20" t="inlineStr">
        <is>
          <t>Лента кассовая</t>
        </is>
      </c>
      <c r="C20" t="inlineStr">
        <is>
          <t>Расходные материалы</t>
        </is>
      </c>
      <c r="D20" t="inlineStr">
        <is>
          <t>шт</t>
        </is>
      </c>
      <c r="E20" t="n">
        <v>40</v>
      </c>
      <c r="F20" t="n">
        <v>55</v>
      </c>
      <c r="G20" t="n">
        <v>50</v>
      </c>
      <c r="H20">
        <f>(F20-E20)/E20*100</f>
        <v/>
      </c>
    </row>
    <row r="21">
      <c r="A21" t="inlineStr">
        <is>
          <t>Т-020</t>
        </is>
      </c>
      <c r="B21" t="inlineStr">
        <is>
          <t>Средство моющее</t>
        </is>
      </c>
      <c r="C21" t="inlineStr">
        <is>
          <t>Расходные материалы</t>
        </is>
      </c>
      <c r="D21" t="inlineStr">
        <is>
          <t>л</t>
        </is>
      </c>
      <c r="E21" t="n">
        <v>100</v>
      </c>
      <c r="F21" t="n">
        <v>115</v>
      </c>
      <c r="G21" t="n">
        <v>20</v>
      </c>
      <c r="H21">
        <f>(F21-E21)/E21*100</f>
        <v/>
      </c>
    </row>
  </sheetData>
  <conditionalFormatting sqref="H2:H21">
    <cfRule type="cellIs" priority="1" operator="lessThan" dxfId="0">
      <formula>20</formula>
    </cfRule>
    <cfRule type="cellIs" priority="2" operator="greaterThan" dxfId="1">
      <formula>50</formula>
    </cfRule>
  </conditionalFormatting>
  <dataValidations count="1">
    <dataValidation sqref="C2:C21" showDropDown="0" showInputMessage="0" showErrorMessage="0" allowBlank="1" type="list">
      <formula1>"Сырьё,Полуфабрикат,Готовая продукция,Расходные материалы"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2" customWidth="1" min="4" max="4"/>
    <col width="11" customWidth="1" min="5" max="5"/>
    <col width="19" customWidth="1" min="6" max="6"/>
    <col width="23" customWidth="1" min="7" max="7"/>
    <col width="2" customWidth="1" min="8" max="8"/>
    <col width="2" customWidth="1" min="9" max="9"/>
    <col hidden="1" width="16" customWidth="1" min="10" max="10"/>
  </cols>
  <sheetData>
    <row r="1">
      <c r="A1" s="1" t="inlineStr">
        <is>
          <t>Код контрагента</t>
        </is>
      </c>
      <c r="B1" s="1" t="inlineStr">
        <is>
          <t>Наименование организации</t>
        </is>
      </c>
      <c r="C1" s="1" t="inlineStr">
        <is>
          <t>Тип</t>
        </is>
      </c>
      <c r="D1" s="1" t="inlineStr">
        <is>
          <t>ИНН</t>
        </is>
      </c>
      <c r="E1" s="1" t="inlineStr">
        <is>
          <t>Город</t>
        </is>
      </c>
      <c r="F1" s="1" t="inlineStr">
        <is>
          <t>Телефон</t>
        </is>
      </c>
      <c r="G1" s="1" t="inlineStr">
        <is>
          <t>Условия оплаты (дней)</t>
        </is>
      </c>
      <c r="J1" t="inlineStr">
        <is>
          <t>Список городов</t>
        </is>
      </c>
    </row>
    <row r="2">
      <c r="A2" t="inlineStr">
        <is>
          <t>К-001</t>
        </is>
      </c>
      <c r="B2" t="inlineStr">
        <is>
          <t>ООО Мукомол</t>
        </is>
      </c>
      <c r="C2" t="inlineStr">
        <is>
          <t>Поставщик</t>
        </is>
      </c>
      <c r="D2" t="inlineStr">
        <is>
          <t>7601001111</t>
        </is>
      </c>
      <c r="E2" t="inlineStr">
        <is>
          <t>Ярославль</t>
        </is>
      </c>
      <c r="F2" t="inlineStr">
        <is>
          <t>+7(4852)11-11-11</t>
        </is>
      </c>
      <c r="G2" t="n">
        <v>14</v>
      </c>
      <c r="J2" t="inlineStr">
        <is>
          <t>Ярославль</t>
        </is>
      </c>
    </row>
    <row r="3">
      <c r="A3" t="inlineStr">
        <is>
          <t>К-002</t>
        </is>
      </c>
      <c r="B3" t="inlineStr">
        <is>
          <t>ЗАО СахарТорг</t>
        </is>
      </c>
      <c r="C3" t="inlineStr">
        <is>
          <t>Поставщик</t>
        </is>
      </c>
      <c r="D3" t="inlineStr">
        <is>
          <t>7602002222</t>
        </is>
      </c>
      <c r="E3" t="inlineStr">
        <is>
          <t>Рыбинск</t>
        </is>
      </c>
      <c r="F3" t="inlineStr">
        <is>
          <t>+7(4855)22-22-22</t>
        </is>
      </c>
      <c r="G3" t="n">
        <v>30</v>
      </c>
      <c r="J3" t="inlineStr">
        <is>
          <t>Рыбинск</t>
        </is>
      </c>
    </row>
    <row r="4">
      <c r="A4" t="inlineStr">
        <is>
          <t>К-003</t>
        </is>
      </c>
      <c r="B4" t="inlineStr">
        <is>
          <t>ПАО СольПром</t>
        </is>
      </c>
      <c r="C4" t="inlineStr">
        <is>
          <t>Поставщик</t>
        </is>
      </c>
      <c r="D4" t="inlineStr">
        <is>
          <t>7703003333</t>
        </is>
      </c>
      <c r="E4" t="inlineStr">
        <is>
          <t>Москва</t>
        </is>
      </c>
      <c r="F4" t="inlineStr">
        <is>
          <t>+7(495)333-33-33</t>
        </is>
      </c>
      <c r="G4" t="n">
        <v>7</v>
      </c>
      <c r="J4" t="inlineStr">
        <is>
          <t>Москва</t>
        </is>
      </c>
    </row>
    <row r="5">
      <c r="A5" t="inlineStr">
        <is>
          <t>К-004</t>
        </is>
      </c>
      <c r="B5" t="inlineStr">
        <is>
          <t>ИП Иванов И.И.</t>
        </is>
      </c>
      <c r="C5" t="inlineStr">
        <is>
          <t>Поставщик</t>
        </is>
      </c>
      <c r="D5" t="inlineStr">
        <is>
          <t>7604004444</t>
        </is>
      </c>
      <c r="E5" t="inlineStr">
        <is>
          <t>Ярославль</t>
        </is>
      </c>
      <c r="F5" t="inlineStr">
        <is>
          <t>+7(900)123-45-67</t>
        </is>
      </c>
      <c r="G5" t="n">
        <v>0</v>
      </c>
      <c r="J5" t="inlineStr">
        <is>
          <t>Кострома</t>
        </is>
      </c>
    </row>
    <row r="6">
      <c r="A6" t="inlineStr">
        <is>
          <t>К-005</t>
        </is>
      </c>
      <c r="B6" t="inlineStr">
        <is>
          <t>ООО Мясной Двор</t>
        </is>
      </c>
      <c r="C6" t="inlineStr">
        <is>
          <t>Поставщик</t>
        </is>
      </c>
      <c r="D6" t="inlineStr">
        <is>
          <t>7605005555</t>
        </is>
      </c>
      <c r="E6" t="inlineStr">
        <is>
          <t>Кострома</t>
        </is>
      </c>
      <c r="F6" t="inlineStr">
        <is>
          <t>+7(4942)55-55-55</t>
        </is>
      </c>
      <c r="G6" t="n">
        <v>14</v>
      </c>
      <c r="J6" t="inlineStr">
        <is>
          <t>Иваново</t>
        </is>
      </c>
    </row>
    <row r="7">
      <c r="A7" t="inlineStr">
        <is>
          <t>К-006</t>
        </is>
      </c>
      <c r="B7" t="inlineStr">
        <is>
          <t>АгроХолдинг</t>
        </is>
      </c>
      <c r="C7" t="inlineStr">
        <is>
          <t>Поставщик</t>
        </is>
      </c>
      <c r="D7" t="inlineStr">
        <is>
          <t>7606006666</t>
        </is>
      </c>
      <c r="E7" t="inlineStr">
        <is>
          <t>Ярославль</t>
        </is>
      </c>
      <c r="F7" t="inlineStr">
        <is>
          <t>+7(4852)66-66-66</t>
        </is>
      </c>
      <c r="G7" t="n">
        <v>21</v>
      </c>
      <c r="J7" t="inlineStr">
        <is>
          <t>Тутаев</t>
        </is>
      </c>
    </row>
    <row r="8">
      <c r="A8" t="inlineStr">
        <is>
          <t>К-007</t>
        </is>
      </c>
      <c r="B8" t="inlineStr">
        <is>
          <t>УпакСнаб</t>
        </is>
      </c>
      <c r="C8" t="inlineStr">
        <is>
          <t>Поставщик</t>
        </is>
      </c>
      <c r="D8" t="inlineStr">
        <is>
          <t>7707007777</t>
        </is>
      </c>
      <c r="E8" t="inlineStr">
        <is>
          <t>Москва</t>
        </is>
      </c>
      <c r="F8" t="inlineStr">
        <is>
          <t>+7(495)777-77-77</t>
        </is>
      </c>
      <c r="G8" t="n">
        <v>10</v>
      </c>
    </row>
    <row r="9">
      <c r="A9" t="inlineStr">
        <is>
          <t>К-008</t>
        </is>
      </c>
      <c r="B9" t="inlineStr">
        <is>
          <t>ООО Чистый Мир</t>
        </is>
      </c>
      <c r="C9" t="inlineStr">
        <is>
          <t>Поставщик</t>
        </is>
      </c>
      <c r="D9" t="inlineStr">
        <is>
          <t>7608008888</t>
        </is>
      </c>
      <c r="E9" t="inlineStr">
        <is>
          <t>Иваново</t>
        </is>
      </c>
      <c r="F9" t="inlineStr">
        <is>
          <t>+7(4932)88-88-88</t>
        </is>
      </c>
      <c r="G9" t="n">
        <v>30</v>
      </c>
    </row>
    <row r="10">
      <c r="A10" t="inlineStr">
        <is>
          <t>К-009</t>
        </is>
      </c>
      <c r="B10" t="inlineStr">
        <is>
          <t>Супермаркет №1</t>
        </is>
      </c>
      <c r="C10" t="inlineStr">
        <is>
          <t>Покупатель</t>
        </is>
      </c>
      <c r="D10" t="inlineStr">
        <is>
          <t>7609009999</t>
        </is>
      </c>
      <c r="E10" t="inlineStr">
        <is>
          <t>Ярославль</t>
        </is>
      </c>
      <c r="F10" t="inlineStr">
        <is>
          <t>+7(4852)99-99-99</t>
        </is>
      </c>
      <c r="G10" t="n">
        <v>14</v>
      </c>
    </row>
    <row r="11">
      <c r="A11" t="inlineStr">
        <is>
          <t>К-010</t>
        </is>
      </c>
      <c r="B11" t="inlineStr">
        <is>
          <t>Сеть Магазинов У Дома</t>
        </is>
      </c>
      <c r="C11" t="inlineStr">
        <is>
          <t>Покупатель</t>
        </is>
      </c>
      <c r="D11" t="inlineStr">
        <is>
          <t>7610010000</t>
        </is>
      </c>
      <c r="E11" t="inlineStr">
        <is>
          <t>Рыбинск</t>
        </is>
      </c>
      <c r="F11" t="inlineStr">
        <is>
          <t>+7(4855)10-10-10</t>
        </is>
      </c>
      <c r="G11" t="n">
        <v>21</v>
      </c>
    </row>
    <row r="12">
      <c r="A12" t="inlineStr">
        <is>
          <t>К-011</t>
        </is>
      </c>
      <c r="B12" t="inlineStr">
        <is>
          <t>ИП Петров П.П.</t>
        </is>
      </c>
      <c r="C12" t="inlineStr">
        <is>
          <t>Покупатель</t>
        </is>
      </c>
      <c r="D12" t="inlineStr">
        <is>
          <t>7611011111</t>
        </is>
      </c>
      <c r="E12" t="inlineStr">
        <is>
          <t>Кострома</t>
        </is>
      </c>
      <c r="F12" t="inlineStr">
        <is>
          <t>+7(910)987-65-43</t>
        </is>
      </c>
      <c r="G12" t="n">
        <v>5</v>
      </c>
    </row>
    <row r="13">
      <c r="A13" t="inlineStr">
        <is>
          <t>К-012</t>
        </is>
      </c>
      <c r="B13" t="inlineStr">
        <is>
          <t>ООО Ресторан Люкс</t>
        </is>
      </c>
      <c r="C13" t="inlineStr">
        <is>
          <t>Покупатель</t>
        </is>
      </c>
      <c r="D13" t="inlineStr">
        <is>
          <t>7612012222</t>
        </is>
      </c>
      <c r="E13" t="inlineStr">
        <is>
          <t>Ярославль</t>
        </is>
      </c>
      <c r="F13" t="inlineStr">
        <is>
          <t>+7(4852)12-12-12</t>
        </is>
      </c>
      <c r="G13" t="n">
        <v>0</v>
      </c>
    </row>
    <row r="14">
      <c r="A14" t="inlineStr">
        <is>
          <t>К-013</t>
        </is>
      </c>
      <c r="B14" t="inlineStr">
        <is>
          <t>Кафе Снежинка</t>
        </is>
      </c>
      <c r="C14" t="inlineStr">
        <is>
          <t>Покупатель</t>
        </is>
      </c>
      <c r="D14" t="inlineStr">
        <is>
          <t>7613013333</t>
        </is>
      </c>
      <c r="E14" t="inlineStr">
        <is>
          <t>Тутаев</t>
        </is>
      </c>
      <c r="F14" t="inlineStr">
        <is>
          <t>+7(48533)13-13-13</t>
        </is>
      </c>
      <c r="G14" t="n">
        <v>7</v>
      </c>
    </row>
    <row r="15">
      <c r="A15" t="inlineStr">
        <is>
          <t>К-014</t>
        </is>
      </c>
      <c r="B15" t="inlineStr">
        <is>
          <t>Столовая Завода</t>
        </is>
      </c>
      <c r="C15" t="inlineStr">
        <is>
          <t>Покупатель</t>
        </is>
      </c>
      <c r="D15" t="inlineStr">
        <is>
          <t>7614014444</t>
        </is>
      </c>
      <c r="E15" t="inlineStr">
        <is>
          <t>Ярославль</t>
        </is>
      </c>
      <c r="F15" t="inlineStr">
        <is>
          <t>+7(4852)14-14-14</t>
        </is>
      </c>
      <c r="G15" t="n">
        <v>30</v>
      </c>
    </row>
    <row r="16">
      <c r="A16" t="inlineStr">
        <is>
          <t>К-015</t>
        </is>
      </c>
      <c r="B16" t="inlineStr">
        <is>
          <t>ООО Пекарня</t>
        </is>
      </c>
      <c r="C16" t="inlineStr">
        <is>
          <t>Покупатель</t>
        </is>
      </c>
      <c r="D16" t="inlineStr">
        <is>
          <t>7615015555</t>
        </is>
      </c>
      <c r="E16" t="inlineStr">
        <is>
          <t>Москва</t>
        </is>
      </c>
      <c r="F16" t="inlineStr">
        <is>
          <t>+7(495)151-15-15</t>
        </is>
      </c>
      <c r="G16" t="n">
        <v>14</v>
      </c>
    </row>
  </sheetData>
  <dataValidations count="2">
    <dataValidation sqref="C2:C16" showDropDown="0" showInputMessage="0" showErrorMessage="0" allowBlank="1" type="list">
      <formula1>"Поставщик,Покупатель"</formula1>
    </dataValidation>
    <dataValidation sqref="E2:E16" showDropDown="0" showInputMessage="0" showErrorMessage="0" allowBlank="1" type="list">
      <formula1>=$J$2:$J$7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2026-10-06T12:22:37Z</dcterms:created>
  <dcterms:modified xmlns:dcterms="http://purl.org/dc/terms/" xmlns:xsi="http://www.w3.org/2001/XMLSchema-instance" xsi:type="dcterms:W3CDTF">2026-10-06T12:22:37Z</dcterms:modified>
</cp:coreProperties>
</file>