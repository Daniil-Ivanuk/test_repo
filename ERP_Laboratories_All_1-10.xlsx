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очник номенклатуры" sheetId="1" state="visible" r:id="rId1"/>
    <sheet xmlns:r="http://schemas.openxmlformats.org/officeDocument/2006/relationships" name="Справочник контрагентов" sheetId="2" state="visible" r:id="rId2"/>
    <sheet xmlns:r="http://schemas.openxmlformats.org/officeDocument/2006/relationships" name="Приходные ордера" sheetId="3" state="visible" r:id="rId3"/>
    <sheet xmlns:r="http://schemas.openxmlformats.org/officeDocument/2006/relationships" name="Расходные ордера" sheetId="4" state="visible" r:id="rId4"/>
    <sheet xmlns:r="http://schemas.openxmlformats.org/officeDocument/2006/relationships" name="Остатки" sheetId="5" state="visible" r:id="rId5"/>
    <sheet xmlns:r="http://schemas.openxmlformats.org/officeDocument/2006/relationships" name="Заказы" sheetId="6" state="visible" r:id="rId6"/>
    <sheet xmlns:r="http://schemas.openxmlformats.org/officeDocument/2006/relationships" name="Спецификации" sheetId="7" state="visible" r:id="rId7"/>
    <sheet xmlns:r="http://schemas.openxmlformats.org/officeDocument/2006/relationships" name="План производства" sheetId="8" state="visible" r:id="rId8"/>
    <sheet xmlns:r="http://schemas.openxmlformats.org/officeDocument/2006/relationships" name="Потребность в компонентах" sheetId="9" state="visible" r:id="rId9"/>
    <sheet xmlns:r="http://schemas.openxmlformats.org/officeDocument/2006/relationships" name="Бюджет продаж" sheetId="10" state="visible" r:id="rId10"/>
    <sheet xmlns:r="http://schemas.openxmlformats.org/officeDocument/2006/relationships" name="Реализация (Дебиторка)" sheetId="11" state="visible" r:id="rId11"/>
    <sheet xmlns:r="http://schemas.openxmlformats.org/officeDocument/2006/relationships" name="Сотрудники" sheetId="12" state="visible" r:id="rId12"/>
    <sheet xmlns:r="http://schemas.openxmlformats.org/officeDocument/2006/relationships" name="Расчёт ЗП" sheetId="13" state="visible" r:id="rId13"/>
    <sheet xmlns:r="http://schemas.openxmlformats.org/officeDocument/2006/relationships" name="АВС-анализ" sheetId="14" state="visible" r:id="rId14"/>
    <sheet xmlns:r="http://schemas.openxmlformats.org/officeDocument/2006/relationships" name="Оценка поставщиков" sheetId="15" state="visible" r:id="rId15"/>
    <sheet xmlns:r="http://schemas.openxmlformats.org/officeDocument/2006/relationships" name="Дашборд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Код товара</t>
        </is>
      </c>
      <c r="B1" s="1" t="inlineStr">
        <is>
          <t>Наименование товара</t>
        </is>
      </c>
      <c r="C1" s="1" t="inlineStr">
        <is>
          <t>Категория</t>
        </is>
      </c>
      <c r="D1" s="1" t="inlineStr">
        <is>
          <t>Ед. изм.</t>
        </is>
      </c>
      <c r="E1" s="1" t="inlineStr">
        <is>
          <t>Цена закупки</t>
        </is>
      </c>
      <c r="F1" s="1" t="inlineStr">
        <is>
          <t>Цена продажи</t>
        </is>
      </c>
      <c r="G1" s="1" t="inlineStr">
        <is>
          <t>Мин. остаток</t>
        </is>
      </c>
      <c r="H1" s="1" t="inlineStr">
        <is>
          <t>Наценка, %</t>
        </is>
      </c>
    </row>
    <row r="2">
      <c r="A2" t="inlineStr">
        <is>
          <t>Т-001</t>
        </is>
      </c>
      <c r="B2" t="inlineStr">
        <is>
          <t>Доска</t>
        </is>
      </c>
      <c r="C2" t="inlineStr">
        <is>
          <t>Сырьё</t>
        </is>
      </c>
      <c r="D2" t="inlineStr">
        <is>
          <t>м</t>
        </is>
      </c>
      <c r="E2" t="n">
        <v>300</v>
      </c>
      <c r="F2" t="n">
        <v>450</v>
      </c>
      <c r="G2" t="n">
        <v>100</v>
      </c>
      <c r="H2">
        <f>(F2-E2)/E2*100</f>
        <v/>
      </c>
    </row>
    <row r="3">
      <c r="A3" t="inlineStr">
        <is>
          <t>Т-002</t>
        </is>
      </c>
      <c r="B3" t="inlineStr">
        <is>
          <t>Ножка</t>
        </is>
      </c>
      <c r="C3" t="inlineStr">
        <is>
          <t>Полуфабрикат</t>
        </is>
      </c>
      <c r="D3" t="inlineStr">
        <is>
          <t>шт</t>
        </is>
      </c>
      <c r="E3" t="n">
        <v>150</v>
      </c>
      <c r="F3" t="n">
        <v>200</v>
      </c>
      <c r="G3" t="n">
        <v>50</v>
      </c>
      <c r="H3">
        <f>(F3-E3)/E3*100</f>
        <v/>
      </c>
    </row>
    <row r="4">
      <c r="A4" t="inlineStr">
        <is>
          <t>Т-003</t>
        </is>
      </c>
      <c r="B4" t="inlineStr">
        <is>
          <t>Шуруп</t>
        </is>
      </c>
      <c r="C4" t="inlineStr">
        <is>
          <t>Расходные материалы</t>
        </is>
      </c>
      <c r="D4" t="inlineStr">
        <is>
          <t>шт</t>
        </is>
      </c>
      <c r="E4" t="n">
        <v>2</v>
      </c>
      <c r="F4" t="n">
        <v>5</v>
      </c>
      <c r="G4" t="n">
        <v>500</v>
      </c>
      <c r="H4">
        <f>(F4-E4)/E4*100</f>
        <v/>
      </c>
    </row>
    <row r="5">
      <c r="A5" t="inlineStr">
        <is>
          <t>Т-004</t>
        </is>
      </c>
      <c r="B5" t="inlineStr">
        <is>
          <t>Сиденье</t>
        </is>
      </c>
      <c r="C5" t="inlineStr">
        <is>
          <t>Полуфабрикат</t>
        </is>
      </c>
      <c r="D5" t="inlineStr">
        <is>
          <t>шт</t>
        </is>
      </c>
      <c r="E5" t="n">
        <v>300</v>
      </c>
      <c r="F5" t="n">
        <v>400</v>
      </c>
      <c r="G5" t="n">
        <v>30</v>
      </c>
      <c r="H5">
        <f>(F5-E5)/E5*100</f>
        <v/>
      </c>
    </row>
    <row r="6">
      <c r="A6" t="inlineStr">
        <is>
          <t>Т-005</t>
        </is>
      </c>
      <c r="B6" t="inlineStr">
        <is>
          <t>Петля</t>
        </is>
      </c>
      <c r="C6" t="inlineStr">
        <is>
          <t>Расходные материалы</t>
        </is>
      </c>
      <c r="D6" t="inlineStr">
        <is>
          <t>шт</t>
        </is>
      </c>
      <c r="E6" t="n">
        <v>15</v>
      </c>
      <c r="F6" t="n">
        <v>25</v>
      </c>
      <c r="G6" t="n">
        <v>200</v>
      </c>
      <c r="H6">
        <f>(F6-E6)/E6*100</f>
        <v/>
      </c>
    </row>
    <row r="7">
      <c r="A7" t="inlineStr">
        <is>
          <t>Т-006</t>
        </is>
      </c>
      <c r="B7" t="inlineStr">
        <is>
          <t>Стол</t>
        </is>
      </c>
      <c r="C7" t="inlineStr">
        <is>
          <t>Готовая продукция</t>
        </is>
      </c>
      <c r="D7" t="inlineStr">
        <is>
          <t>шт</t>
        </is>
      </c>
      <c r="E7" t="n">
        <v>1500</v>
      </c>
      <c r="F7" t="n">
        <v>3000</v>
      </c>
      <c r="G7" t="n">
        <v>10</v>
      </c>
      <c r="H7">
        <f>(F7-E7)/E7*100</f>
        <v/>
      </c>
    </row>
    <row r="8">
      <c r="A8" t="inlineStr">
        <is>
          <t>Т-007</t>
        </is>
      </c>
      <c r="B8" t="inlineStr">
        <is>
          <t>Стул</t>
        </is>
      </c>
      <c r="C8" t="inlineStr">
        <is>
          <t>Готовая продукция</t>
        </is>
      </c>
      <c r="D8" t="inlineStr">
        <is>
          <t>шт</t>
        </is>
      </c>
      <c r="E8" t="n">
        <v>800</v>
      </c>
      <c r="F8" t="n">
        <v>1500</v>
      </c>
      <c r="G8" t="n">
        <v>20</v>
      </c>
      <c r="H8">
        <f>(F8-E8)/E8*100</f>
        <v/>
      </c>
    </row>
    <row r="9">
      <c r="A9" t="inlineStr">
        <is>
          <t>Т-008</t>
        </is>
      </c>
      <c r="B9" t="inlineStr">
        <is>
          <t>Шкаф</t>
        </is>
      </c>
      <c r="C9" t="inlineStr">
        <is>
          <t>Готовая продукция</t>
        </is>
      </c>
      <c r="D9" t="inlineStr">
        <is>
          <t>шт</t>
        </is>
      </c>
      <c r="E9" t="n">
        <v>4000</v>
      </c>
      <c r="F9" t="n">
        <v>8000</v>
      </c>
      <c r="G9" t="n">
        <v>5</v>
      </c>
      <c r="H9">
        <f>(F9-E9)/E9*100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Код контрагента</t>
        </is>
      </c>
      <c r="B1" s="1" t="inlineStr">
        <is>
          <t>Наименование</t>
        </is>
      </c>
      <c r="C1" s="1" t="inlineStr">
        <is>
          <t>Тип</t>
        </is>
      </c>
      <c r="D1" s="1" t="inlineStr">
        <is>
          <t>ИНН</t>
        </is>
      </c>
      <c r="E1" s="1" t="inlineStr">
        <is>
          <t>Город</t>
        </is>
      </c>
      <c r="F1" s="1" t="inlineStr">
        <is>
          <t>Телефон</t>
        </is>
      </c>
      <c r="G1" s="1" t="inlineStr">
        <is>
          <t>Условия оплаты</t>
        </is>
      </c>
    </row>
    <row r="2">
      <c r="A2" t="inlineStr">
        <is>
          <t>К-001</t>
        </is>
      </c>
      <c r="B2" t="inlineStr">
        <is>
          <t>ООО ЛесПром</t>
        </is>
      </c>
      <c r="C2" t="inlineStr">
        <is>
          <t>Поставщик</t>
        </is>
      </c>
      <c r="D2" t="inlineStr">
        <is>
          <t>7601</t>
        </is>
      </c>
      <c r="E2" t="inlineStr">
        <is>
          <t>Ярославль</t>
        </is>
      </c>
      <c r="F2" t="inlineStr">
        <is>
          <t>11-11</t>
        </is>
      </c>
      <c r="G2" t="n">
        <v>14</v>
      </c>
    </row>
    <row r="3">
      <c r="A3" t="inlineStr">
        <is>
          <t>К-002</t>
        </is>
      </c>
      <c r="B3" t="inlineStr">
        <is>
          <t>ЗАО Метиз</t>
        </is>
      </c>
      <c r="C3" t="inlineStr">
        <is>
          <t>Поставщик</t>
        </is>
      </c>
      <c r="D3" t="inlineStr">
        <is>
          <t>7602</t>
        </is>
      </c>
      <c r="E3" t="inlineStr">
        <is>
          <t>Рыбинск</t>
        </is>
      </c>
      <c r="F3" t="inlineStr">
        <is>
          <t>22-22</t>
        </is>
      </c>
      <c r="G3" t="n">
        <v>30</v>
      </c>
    </row>
    <row r="4">
      <c r="A4" t="inlineStr">
        <is>
          <t>К-003</t>
        </is>
      </c>
      <c r="B4" t="inlineStr">
        <is>
          <t>МебельТорг</t>
        </is>
      </c>
      <c r="C4" t="inlineStr">
        <is>
          <t>Покупатель</t>
        </is>
      </c>
      <c r="D4" t="inlineStr">
        <is>
          <t>7603</t>
        </is>
      </c>
      <c r="E4" t="inlineStr">
        <is>
          <t>Москва</t>
        </is>
      </c>
      <c r="F4" t="inlineStr">
        <is>
          <t>33-33</t>
        </is>
      </c>
      <c r="G4" t="n">
        <v>14</v>
      </c>
    </row>
    <row r="5">
      <c r="A5" t="inlineStr">
        <is>
          <t>К-004</t>
        </is>
      </c>
      <c r="B5" t="inlineStr">
        <is>
          <t>ИП Иванов</t>
        </is>
      </c>
      <c r="C5" t="inlineStr">
        <is>
          <t>Покупатель</t>
        </is>
      </c>
      <c r="D5" t="inlineStr">
        <is>
          <t>7604</t>
        </is>
      </c>
      <c r="E5" t="inlineStr">
        <is>
          <t>Кострома</t>
        </is>
      </c>
      <c r="F5" t="inlineStr">
        <is>
          <t>44-44</t>
        </is>
      </c>
      <c r="G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№ ордера</t>
        </is>
      </c>
      <c r="B1" s="1" t="inlineStr">
        <is>
          <t>Дата</t>
        </is>
      </c>
      <c r="C1" s="1" t="inlineStr">
        <is>
          <t>Код товара</t>
        </is>
      </c>
      <c r="D1" s="1" t="inlineStr">
        <is>
          <t>Наименование</t>
        </is>
      </c>
      <c r="E1" s="1" t="inlineStr">
        <is>
          <t>Кол-во</t>
        </is>
      </c>
      <c r="F1" s="1" t="inlineStr">
        <is>
          <t>Поставщик</t>
        </is>
      </c>
      <c r="G1" s="1" t="inlineStr">
        <is>
          <t>Цена закупки</t>
        </is>
      </c>
      <c r="H1" s="1" t="inlineStr">
        <is>
          <t>Сумма</t>
        </is>
      </c>
    </row>
    <row r="2">
      <c r="A2" t="inlineStr">
        <is>
          <t>ПО-001</t>
        </is>
      </c>
      <c r="B2" t="inlineStr">
        <is>
          <t>01.10.2026</t>
        </is>
      </c>
      <c r="C2" t="inlineStr">
        <is>
          <t>Т-001</t>
        </is>
      </c>
      <c r="D2">
        <f>VLOOKUP(C2,'Справочник номенклатуры'!A:B,2,FALSE)</f>
        <v/>
      </c>
      <c r="E2" t="n">
        <v>56</v>
      </c>
      <c r="F2" t="inlineStr">
        <is>
          <t>ЗАО Метиз</t>
        </is>
      </c>
      <c r="G2">
        <f>VLOOKUP(C2,'Справочник номенклатуры'!A:E,5,FALSE)</f>
        <v/>
      </c>
      <c r="H2">
        <f>E2*G2</f>
        <v/>
      </c>
    </row>
    <row r="3">
      <c r="A3" t="inlineStr">
        <is>
          <t>ПО-002</t>
        </is>
      </c>
      <c r="B3" t="inlineStr">
        <is>
          <t>01.10.2026</t>
        </is>
      </c>
      <c r="C3" t="inlineStr">
        <is>
          <t>Т-002</t>
        </is>
      </c>
      <c r="D3">
        <f>VLOOKUP(C3,'Справочник номенклатуры'!A:B,2,FALSE)</f>
        <v/>
      </c>
      <c r="E3" t="n">
        <v>107</v>
      </c>
      <c r="F3" t="inlineStr">
        <is>
          <t>ООО ЛесПром</t>
        </is>
      </c>
      <c r="G3">
        <f>VLOOKUP(C3,'Справочник номенклатуры'!A:E,5,FALSE)</f>
        <v/>
      </c>
      <c r="H3">
        <f>E3*G3</f>
        <v/>
      </c>
    </row>
    <row r="4">
      <c r="A4" t="inlineStr">
        <is>
          <t>ПО-003</t>
        </is>
      </c>
      <c r="B4" t="inlineStr">
        <is>
          <t>01.10.2026</t>
        </is>
      </c>
      <c r="C4" t="inlineStr">
        <is>
          <t>Т-001</t>
        </is>
      </c>
      <c r="D4">
        <f>VLOOKUP(C4,'Справочник номенклатуры'!A:B,2,FALSE)</f>
        <v/>
      </c>
      <c r="E4" t="n">
        <v>189</v>
      </c>
      <c r="F4" t="inlineStr">
        <is>
          <t>ООО ЛесПром</t>
        </is>
      </c>
      <c r="G4">
        <f>VLOOKUP(C4,'Справочник номенклатуры'!A:E,5,FALSE)</f>
        <v/>
      </c>
      <c r="H4">
        <f>E4*G4</f>
        <v/>
      </c>
    </row>
    <row r="5">
      <c r="A5" t="inlineStr">
        <is>
          <t>ПО-004</t>
        </is>
      </c>
      <c r="B5" t="inlineStr">
        <is>
          <t>01.10.2026</t>
        </is>
      </c>
      <c r="C5" t="inlineStr">
        <is>
          <t>Т-005</t>
        </is>
      </c>
      <c r="D5">
        <f>VLOOKUP(C5,'Справочник номенклатуры'!A:B,2,FALSE)</f>
        <v/>
      </c>
      <c r="E5" t="n">
        <v>158</v>
      </c>
      <c r="F5" t="inlineStr">
        <is>
          <t>ООО ЛесПром</t>
        </is>
      </c>
      <c r="G5">
        <f>VLOOKUP(C5,'Справочник номенклатуры'!A:E,5,FALSE)</f>
        <v/>
      </c>
      <c r="H5">
        <f>E5*G5</f>
        <v/>
      </c>
    </row>
    <row r="6">
      <c r="A6" t="inlineStr">
        <is>
          <t>ПО-005</t>
        </is>
      </c>
      <c r="B6" t="inlineStr">
        <is>
          <t>01.10.2026</t>
        </is>
      </c>
      <c r="C6" t="inlineStr">
        <is>
          <t>Т-001</t>
        </is>
      </c>
      <c r="D6">
        <f>VLOOKUP(C6,'Справочник номенклатуры'!A:B,2,FALSE)</f>
        <v/>
      </c>
      <c r="E6" t="n">
        <v>73</v>
      </c>
      <c r="F6" t="inlineStr">
        <is>
          <t>ООО ЛесПром</t>
        </is>
      </c>
      <c r="G6">
        <f>VLOOKUP(C6,'Справочник номенклатуры'!A:E,5,FALSE)</f>
        <v/>
      </c>
      <c r="H6">
        <f>E6*G6</f>
        <v/>
      </c>
    </row>
    <row r="7">
      <c r="A7" t="inlineStr">
        <is>
          <t>ПО-006</t>
        </is>
      </c>
      <c r="B7" t="inlineStr">
        <is>
          <t>01.10.2026</t>
        </is>
      </c>
      <c r="C7" t="inlineStr">
        <is>
          <t>Т-002</t>
        </is>
      </c>
      <c r="D7">
        <f>VLOOKUP(C7,'Справочник номенклатуры'!A:B,2,FALSE)</f>
        <v/>
      </c>
      <c r="E7" t="n">
        <v>179</v>
      </c>
      <c r="F7" t="inlineStr">
        <is>
          <t>ООО ЛесПром</t>
        </is>
      </c>
      <c r="G7">
        <f>VLOOKUP(C7,'Справочник номенклатуры'!A:E,5,FALSE)</f>
        <v/>
      </c>
      <c r="H7">
        <f>E7*G7</f>
        <v/>
      </c>
    </row>
    <row r="8">
      <c r="A8" t="inlineStr">
        <is>
          <t>ПО-007</t>
        </is>
      </c>
      <c r="B8" t="inlineStr">
        <is>
          <t>01.10.2026</t>
        </is>
      </c>
      <c r="C8" t="inlineStr">
        <is>
          <t>Т-005</t>
        </is>
      </c>
      <c r="D8">
        <f>VLOOKUP(C8,'Справочник номенклатуры'!A:B,2,FALSE)</f>
        <v/>
      </c>
      <c r="E8" t="n">
        <v>100</v>
      </c>
      <c r="F8" t="inlineStr">
        <is>
          <t>ЗАО Метиз</t>
        </is>
      </c>
      <c r="G8">
        <f>VLOOKUP(C8,'Справочник номенклатуры'!A:E,5,FALSE)</f>
        <v/>
      </c>
      <c r="H8">
        <f>E8*G8</f>
        <v/>
      </c>
    </row>
    <row r="9">
      <c r="A9" t="inlineStr">
        <is>
          <t>ПО-008</t>
        </is>
      </c>
      <c r="B9" t="inlineStr">
        <is>
          <t>01.10.2026</t>
        </is>
      </c>
      <c r="C9" t="inlineStr">
        <is>
          <t>Т-002</t>
        </is>
      </c>
      <c r="D9">
        <f>VLOOKUP(C9,'Справочник номенклатуры'!A:B,2,FALSE)</f>
        <v/>
      </c>
      <c r="E9" t="n">
        <v>164</v>
      </c>
      <c r="F9" t="inlineStr">
        <is>
          <t>ЗАО Метиз</t>
        </is>
      </c>
      <c r="G9">
        <f>VLOOKUP(C9,'Справочник номенклатуры'!A:E,5,FALSE)</f>
        <v/>
      </c>
      <c r="H9">
        <f>E9*G9</f>
        <v/>
      </c>
    </row>
    <row r="10">
      <c r="A10" t="inlineStr">
        <is>
          <t>ПО-009</t>
        </is>
      </c>
      <c r="B10" t="inlineStr">
        <is>
          <t>01.10.2026</t>
        </is>
      </c>
      <c r="C10" t="inlineStr">
        <is>
          <t>Т-001</t>
        </is>
      </c>
      <c r="D10">
        <f>VLOOKUP(C10,'Справочник номенклатуры'!A:B,2,FALSE)</f>
        <v/>
      </c>
      <c r="E10" t="n">
        <v>90</v>
      </c>
      <c r="F10" t="inlineStr">
        <is>
          <t>ЗАО Метиз</t>
        </is>
      </c>
      <c r="G10">
        <f>VLOOKUP(C10,'Справочник номенклатуры'!A:E,5,FALSE)</f>
        <v/>
      </c>
      <c r="H10">
        <f>E10*G10</f>
        <v/>
      </c>
    </row>
    <row r="11">
      <c r="A11" t="inlineStr">
        <is>
          <t>ПО-010</t>
        </is>
      </c>
      <c r="B11" t="inlineStr">
        <is>
          <t>01.10.2026</t>
        </is>
      </c>
      <c r="C11" t="inlineStr">
        <is>
          <t>Т-003</t>
        </is>
      </c>
      <c r="D11">
        <f>VLOOKUP(C11,'Справочник номенклатуры'!A:B,2,FALSE)</f>
        <v/>
      </c>
      <c r="E11" t="n">
        <v>121</v>
      </c>
      <c r="F11" t="inlineStr">
        <is>
          <t>ООО ЛесПром</t>
        </is>
      </c>
      <c r="G11">
        <f>VLOOKUP(C11,'Справочник номенклатуры'!A:E,5,FALSE)</f>
        <v/>
      </c>
      <c r="H11">
        <f>E11*G11</f>
        <v/>
      </c>
    </row>
    <row r="12">
      <c r="A12" t="inlineStr">
        <is>
          <t>ПО-011</t>
        </is>
      </c>
      <c r="B12" t="inlineStr">
        <is>
          <t>01.10.2026</t>
        </is>
      </c>
      <c r="C12" t="inlineStr">
        <is>
          <t>Т-002</t>
        </is>
      </c>
      <c r="D12">
        <f>VLOOKUP(C12,'Справочник номенклатуры'!A:B,2,FALSE)</f>
        <v/>
      </c>
      <c r="E12" t="n">
        <v>136</v>
      </c>
      <c r="F12" t="inlineStr">
        <is>
          <t>ООО ЛесПром</t>
        </is>
      </c>
      <c r="G12">
        <f>VLOOKUP(C12,'Справочник номенклатуры'!A:E,5,FALSE)</f>
        <v/>
      </c>
      <c r="H12">
        <f>E12*G12</f>
        <v/>
      </c>
    </row>
    <row r="13">
      <c r="A13" t="inlineStr">
        <is>
          <t>ПО-012</t>
        </is>
      </c>
      <c r="B13" t="inlineStr">
        <is>
          <t>01.10.2026</t>
        </is>
      </c>
      <c r="C13" t="inlineStr">
        <is>
          <t>Т-001</t>
        </is>
      </c>
      <c r="D13">
        <f>VLOOKUP(C13,'Справочник номенклатуры'!A:B,2,FALSE)</f>
        <v/>
      </c>
      <c r="E13" t="n">
        <v>147</v>
      </c>
      <c r="F13" t="inlineStr">
        <is>
          <t>ООО ЛесПром</t>
        </is>
      </c>
      <c r="G13">
        <f>VLOOKUP(C13,'Справочник номенклатуры'!A:E,5,FALSE)</f>
        <v/>
      </c>
      <c r="H13">
        <f>E13*G13</f>
        <v/>
      </c>
    </row>
    <row r="14">
      <c r="A14" t="inlineStr">
        <is>
          <t>ПО-013</t>
        </is>
      </c>
      <c r="B14" t="inlineStr">
        <is>
          <t>01.10.2026</t>
        </is>
      </c>
      <c r="C14" t="inlineStr">
        <is>
          <t>Т-003</t>
        </is>
      </c>
      <c r="D14">
        <f>VLOOKUP(C14,'Справочник номенклатуры'!A:B,2,FALSE)</f>
        <v/>
      </c>
      <c r="E14" t="n">
        <v>138</v>
      </c>
      <c r="F14" t="inlineStr">
        <is>
          <t>ЗАО Метиз</t>
        </is>
      </c>
      <c r="G14">
        <f>VLOOKUP(C14,'Справочник номенклатуры'!A:E,5,FALSE)</f>
        <v/>
      </c>
      <c r="H14">
        <f>E14*G14</f>
        <v/>
      </c>
    </row>
    <row r="15">
      <c r="A15" t="inlineStr">
        <is>
          <t>ПО-014</t>
        </is>
      </c>
      <c r="B15" t="inlineStr">
        <is>
          <t>01.10.2026</t>
        </is>
      </c>
      <c r="C15" t="inlineStr">
        <is>
          <t>Т-001</t>
        </is>
      </c>
      <c r="D15">
        <f>VLOOKUP(C15,'Справочник номенклатуры'!A:B,2,FALSE)</f>
        <v/>
      </c>
      <c r="E15" t="n">
        <v>167</v>
      </c>
      <c r="F15" t="inlineStr">
        <is>
          <t>ООО ЛесПром</t>
        </is>
      </c>
      <c r="G15">
        <f>VLOOKUP(C15,'Справочник номенклатуры'!A:E,5,FALSE)</f>
        <v/>
      </c>
      <c r="H15">
        <f>E15*G15</f>
        <v/>
      </c>
    </row>
    <row r="16">
      <c r="A16" t="inlineStr">
        <is>
          <t>ПО-015</t>
        </is>
      </c>
      <c r="B16" t="inlineStr">
        <is>
          <t>01.10.2026</t>
        </is>
      </c>
      <c r="C16" t="inlineStr">
        <is>
          <t>Т-004</t>
        </is>
      </c>
      <c r="D16">
        <f>VLOOKUP(C16,'Справочник номенклатуры'!A:B,2,FALSE)</f>
        <v/>
      </c>
      <c r="E16" t="n">
        <v>70</v>
      </c>
      <c r="F16" t="inlineStr">
        <is>
          <t>ЗАО Метиз</t>
        </is>
      </c>
      <c r="G16">
        <f>VLOOKUP(C16,'Справочник номенклатуры'!A:E,5,FALSE)</f>
        <v/>
      </c>
      <c r="H16">
        <f>E16*G16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№ ордера</t>
        </is>
      </c>
      <c r="B1" s="1" t="inlineStr">
        <is>
          <t>Дата</t>
        </is>
      </c>
      <c r="C1" s="1" t="inlineStr">
        <is>
          <t>Код товара</t>
        </is>
      </c>
      <c r="D1" s="1" t="inlineStr">
        <is>
          <t>Наименование</t>
        </is>
      </c>
      <c r="E1" s="1" t="inlineStr">
        <is>
          <t>Кол-во</t>
        </is>
      </c>
      <c r="F1" s="1" t="inlineStr">
        <is>
          <t>Покупатель</t>
        </is>
      </c>
      <c r="G1" s="1" t="inlineStr">
        <is>
          <t>Цена продажи</t>
        </is>
      </c>
      <c r="H1" s="1" t="inlineStr">
        <is>
          <t>Сумма</t>
        </is>
      </c>
    </row>
    <row r="2">
      <c r="A2" t="inlineStr">
        <is>
          <t>РО-001</t>
        </is>
      </c>
      <c r="B2" t="inlineStr">
        <is>
          <t>05.10.2026</t>
        </is>
      </c>
      <c r="C2" t="inlineStr">
        <is>
          <t>Т-008</t>
        </is>
      </c>
      <c r="D2">
        <f>VLOOKUP(C2,'Справочник номенклатуры'!A:B,2,FALSE)</f>
        <v/>
      </c>
      <c r="E2" t="n">
        <v>16</v>
      </c>
      <c r="F2" t="inlineStr">
        <is>
          <t>МебельТорг</t>
        </is>
      </c>
      <c r="G2">
        <f>VLOOKUP(C2,'Справочник номенклатуры'!A:F,6,FALSE)</f>
        <v/>
      </c>
      <c r="H2">
        <f>E2*G2</f>
        <v/>
      </c>
    </row>
    <row r="3">
      <c r="A3" t="inlineStr">
        <is>
          <t>РО-002</t>
        </is>
      </c>
      <c r="B3" t="inlineStr">
        <is>
          <t>05.10.2026</t>
        </is>
      </c>
      <c r="C3" t="inlineStr">
        <is>
          <t>Т-008</t>
        </is>
      </c>
      <c r="D3">
        <f>VLOOKUP(C3,'Справочник номенклатуры'!A:B,2,FALSE)</f>
        <v/>
      </c>
      <c r="E3" t="n">
        <v>7</v>
      </c>
      <c r="F3" t="inlineStr">
        <is>
          <t>МебельТорг</t>
        </is>
      </c>
      <c r="G3">
        <f>VLOOKUP(C3,'Справочник номенклатуры'!A:F,6,FALSE)</f>
        <v/>
      </c>
      <c r="H3">
        <f>E3*G3</f>
        <v/>
      </c>
    </row>
    <row r="4">
      <c r="A4" t="inlineStr">
        <is>
          <t>РО-003</t>
        </is>
      </c>
      <c r="B4" t="inlineStr">
        <is>
          <t>05.10.2026</t>
        </is>
      </c>
      <c r="C4" t="inlineStr">
        <is>
          <t>Т-008</t>
        </is>
      </c>
      <c r="D4">
        <f>VLOOKUP(C4,'Справочник номенклатуры'!A:B,2,FALSE)</f>
        <v/>
      </c>
      <c r="E4" t="n">
        <v>12</v>
      </c>
      <c r="F4" t="inlineStr">
        <is>
          <t>ИП Иванов</t>
        </is>
      </c>
      <c r="G4">
        <f>VLOOKUP(C4,'Справочник номенклатуры'!A:F,6,FALSE)</f>
        <v/>
      </c>
      <c r="H4">
        <f>E4*G4</f>
        <v/>
      </c>
    </row>
    <row r="5">
      <c r="A5" t="inlineStr">
        <is>
          <t>РО-004</t>
        </is>
      </c>
      <c r="B5" t="inlineStr">
        <is>
          <t>05.10.2026</t>
        </is>
      </c>
      <c r="C5" t="inlineStr">
        <is>
          <t>Т-006</t>
        </is>
      </c>
      <c r="D5">
        <f>VLOOKUP(C5,'Справочник номенклатуры'!A:B,2,FALSE)</f>
        <v/>
      </c>
      <c r="E5" t="n">
        <v>12</v>
      </c>
      <c r="F5" t="inlineStr">
        <is>
          <t>МебельТорг</t>
        </is>
      </c>
      <c r="G5">
        <f>VLOOKUP(C5,'Справочник номенклатуры'!A:F,6,FALSE)</f>
        <v/>
      </c>
      <c r="H5">
        <f>E5*G5</f>
        <v/>
      </c>
    </row>
    <row r="6">
      <c r="A6" t="inlineStr">
        <is>
          <t>РО-005</t>
        </is>
      </c>
      <c r="B6" t="inlineStr">
        <is>
          <t>05.10.2026</t>
        </is>
      </c>
      <c r="C6" t="inlineStr">
        <is>
          <t>Т-007</t>
        </is>
      </c>
      <c r="D6">
        <f>VLOOKUP(C6,'Справочник номенклатуры'!A:B,2,FALSE)</f>
        <v/>
      </c>
      <c r="E6" t="n">
        <v>13</v>
      </c>
      <c r="F6" t="inlineStr">
        <is>
          <t>ИП Иванов</t>
        </is>
      </c>
      <c r="G6">
        <f>VLOOKUP(C6,'Справочник номенклатуры'!A:F,6,FALSE)</f>
        <v/>
      </c>
      <c r="H6">
        <f>E6*G6</f>
        <v/>
      </c>
    </row>
    <row r="7">
      <c r="A7" t="inlineStr">
        <is>
          <t>РО-006</t>
        </is>
      </c>
      <c r="B7" t="inlineStr">
        <is>
          <t>05.10.2026</t>
        </is>
      </c>
      <c r="C7" t="inlineStr">
        <is>
          <t>Т-008</t>
        </is>
      </c>
      <c r="D7">
        <f>VLOOKUP(C7,'Справочник номенклатуры'!A:B,2,FALSE)</f>
        <v/>
      </c>
      <c r="E7" t="n">
        <v>16</v>
      </c>
      <c r="F7" t="inlineStr">
        <is>
          <t>МебельТорг</t>
        </is>
      </c>
      <c r="G7">
        <f>VLOOKUP(C7,'Справочник номенклатуры'!A:F,6,FALSE)</f>
        <v/>
      </c>
      <c r="H7">
        <f>E7*G7</f>
        <v/>
      </c>
    </row>
    <row r="8">
      <c r="A8" t="inlineStr">
        <is>
          <t>РО-007</t>
        </is>
      </c>
      <c r="B8" t="inlineStr">
        <is>
          <t>05.10.2026</t>
        </is>
      </c>
      <c r="C8" t="inlineStr">
        <is>
          <t>Т-007</t>
        </is>
      </c>
      <c r="D8">
        <f>VLOOKUP(C8,'Справочник номенклатуры'!A:B,2,FALSE)</f>
        <v/>
      </c>
      <c r="E8" t="n">
        <v>16</v>
      </c>
      <c r="F8" t="inlineStr">
        <is>
          <t>МебельТорг</t>
        </is>
      </c>
      <c r="G8">
        <f>VLOOKUP(C8,'Справочник номенклатуры'!A:F,6,FALSE)</f>
        <v/>
      </c>
      <c r="H8">
        <f>E8*G8</f>
        <v/>
      </c>
    </row>
    <row r="9">
      <c r="A9" t="inlineStr">
        <is>
          <t>РО-008</t>
        </is>
      </c>
      <c r="B9" t="inlineStr">
        <is>
          <t>05.10.2026</t>
        </is>
      </c>
      <c r="C9" t="inlineStr">
        <is>
          <t>Т-008</t>
        </is>
      </c>
      <c r="D9">
        <f>VLOOKUP(C9,'Справочник номенклатуры'!A:B,2,FALSE)</f>
        <v/>
      </c>
      <c r="E9" t="n">
        <v>13</v>
      </c>
      <c r="F9" t="inlineStr">
        <is>
          <t>МебельТорг</t>
        </is>
      </c>
      <c r="G9">
        <f>VLOOKUP(C9,'Справочник номенклатуры'!A:F,6,FALSE)</f>
        <v/>
      </c>
      <c r="H9">
        <f>E9*G9</f>
        <v/>
      </c>
    </row>
    <row r="10">
      <c r="A10" t="inlineStr">
        <is>
          <t>РО-009</t>
        </is>
      </c>
      <c r="B10" t="inlineStr">
        <is>
          <t>05.10.2026</t>
        </is>
      </c>
      <c r="C10" t="inlineStr">
        <is>
          <t>Т-008</t>
        </is>
      </c>
      <c r="D10">
        <f>VLOOKUP(C10,'Справочник номенклатуры'!A:B,2,FALSE)</f>
        <v/>
      </c>
      <c r="E10" t="n">
        <v>10</v>
      </c>
      <c r="F10" t="inlineStr">
        <is>
          <t>МебельТорг</t>
        </is>
      </c>
      <c r="G10">
        <f>VLOOKUP(C10,'Справочник номенклатуры'!A:F,6,FALSE)</f>
        <v/>
      </c>
      <c r="H10">
        <f>E10*G10</f>
        <v/>
      </c>
    </row>
    <row r="11">
      <c r="A11" t="inlineStr">
        <is>
          <t>РО-010</t>
        </is>
      </c>
      <c r="B11" t="inlineStr">
        <is>
          <t>05.10.2026</t>
        </is>
      </c>
      <c r="C11" t="inlineStr">
        <is>
          <t>Т-006</t>
        </is>
      </c>
      <c r="D11">
        <f>VLOOKUP(C11,'Справочник номенклатуры'!A:B,2,FALSE)</f>
        <v/>
      </c>
      <c r="E11" t="n">
        <v>19</v>
      </c>
      <c r="F11" t="inlineStr">
        <is>
          <t>ИП Иванов</t>
        </is>
      </c>
      <c r="G11">
        <f>VLOOKUP(C11,'Справочник номенклатуры'!A:F,6,FALSE)</f>
        <v/>
      </c>
      <c r="H11">
        <f>E11*G11</f>
        <v/>
      </c>
    </row>
    <row r="12">
      <c r="A12" t="inlineStr">
        <is>
          <t>РО-011</t>
        </is>
      </c>
      <c r="B12" t="inlineStr">
        <is>
          <t>05.10.2026</t>
        </is>
      </c>
      <c r="C12" t="inlineStr">
        <is>
          <t>Т-007</t>
        </is>
      </c>
      <c r="D12">
        <f>VLOOKUP(C12,'Справочник номенклатуры'!A:B,2,FALSE)</f>
        <v/>
      </c>
      <c r="E12" t="n">
        <v>12</v>
      </c>
      <c r="F12" t="inlineStr">
        <is>
          <t>ИП Иванов</t>
        </is>
      </c>
      <c r="G12">
        <f>VLOOKUP(C12,'Справочник номенклатуры'!A:F,6,FALSE)</f>
        <v/>
      </c>
      <c r="H12">
        <f>E12*G12</f>
        <v/>
      </c>
    </row>
    <row r="13">
      <c r="A13" t="inlineStr">
        <is>
          <t>РО-012</t>
        </is>
      </c>
      <c r="B13" t="inlineStr">
        <is>
          <t>05.10.2026</t>
        </is>
      </c>
      <c r="C13" t="inlineStr">
        <is>
          <t>Т-006</t>
        </is>
      </c>
      <c r="D13">
        <f>VLOOKUP(C13,'Справочник номенклатуры'!A:B,2,FALSE)</f>
        <v/>
      </c>
      <c r="E13" t="n">
        <v>12</v>
      </c>
      <c r="F13" t="inlineStr">
        <is>
          <t>МебельТорг</t>
        </is>
      </c>
      <c r="G13">
        <f>VLOOKUP(C13,'Справочник номенклатуры'!A:F,6,FALSE)</f>
        <v/>
      </c>
      <c r="H13">
        <f>E13*G13</f>
        <v/>
      </c>
    </row>
    <row r="14">
      <c r="A14" t="inlineStr">
        <is>
          <t>РО-013</t>
        </is>
      </c>
      <c r="B14" t="inlineStr">
        <is>
          <t>05.10.2026</t>
        </is>
      </c>
      <c r="C14" t="inlineStr">
        <is>
          <t>Т-007</t>
        </is>
      </c>
      <c r="D14">
        <f>VLOOKUP(C14,'Справочник номенклатуры'!A:B,2,FALSE)</f>
        <v/>
      </c>
      <c r="E14" t="n">
        <v>17</v>
      </c>
      <c r="F14" t="inlineStr">
        <is>
          <t>ИП Иванов</t>
        </is>
      </c>
      <c r="G14">
        <f>VLOOKUP(C14,'Справочник номенклатуры'!A:F,6,FALSE)</f>
        <v/>
      </c>
      <c r="H14">
        <f>E14*G14</f>
        <v/>
      </c>
    </row>
    <row r="15">
      <c r="A15" t="inlineStr">
        <is>
          <t>РО-014</t>
        </is>
      </c>
      <c r="B15" t="inlineStr">
        <is>
          <t>05.10.2026</t>
        </is>
      </c>
      <c r="C15" t="inlineStr">
        <is>
          <t>Т-006</t>
        </is>
      </c>
      <c r="D15">
        <f>VLOOKUP(C15,'Справочник номенклатуры'!A:B,2,FALSE)</f>
        <v/>
      </c>
      <c r="E15" t="n">
        <v>11</v>
      </c>
      <c r="F15" t="inlineStr">
        <is>
          <t>ИП Иванов</t>
        </is>
      </c>
      <c r="G15">
        <f>VLOOKUP(C15,'Справочник номенклатуры'!A:F,6,FALSE)</f>
        <v/>
      </c>
      <c r="H15">
        <f>E15*G15</f>
        <v/>
      </c>
    </row>
    <row r="16">
      <c r="A16" t="inlineStr">
        <is>
          <t>РО-015</t>
        </is>
      </c>
      <c r="B16" t="inlineStr">
        <is>
          <t>05.10.2026</t>
        </is>
      </c>
      <c r="C16" t="inlineStr">
        <is>
          <t>Т-006</t>
        </is>
      </c>
      <c r="D16">
        <f>VLOOKUP(C16,'Справочник номенклатуры'!A:B,2,FALSE)</f>
        <v/>
      </c>
      <c r="E16" t="n">
        <v>20</v>
      </c>
      <c r="F16" t="inlineStr">
        <is>
          <t>ИП Иванов</t>
        </is>
      </c>
      <c r="G16">
        <f>VLOOKUP(C16,'Справочник номенклатуры'!A:F,6,FALSE)</f>
        <v/>
      </c>
      <c r="H16">
        <f>E16*G16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Код товара</t>
        </is>
      </c>
      <c r="B1" s="1" t="inlineStr">
        <is>
          <t>Наименование</t>
        </is>
      </c>
      <c r="C1" s="1" t="inlineStr">
        <is>
          <t>Нач. остаток</t>
        </is>
      </c>
      <c r="D1" s="1" t="inlineStr">
        <is>
          <t>Приход</t>
        </is>
      </c>
      <c r="E1" s="1" t="inlineStr">
        <is>
          <t>Расход</t>
        </is>
      </c>
      <c r="F1" s="1" t="inlineStr">
        <is>
          <t>Конечный остаток</t>
        </is>
      </c>
      <c r="G1" s="1" t="inlineStr">
        <is>
          <t>Мин. остаток</t>
        </is>
      </c>
      <c r="H1" s="1" t="inlineStr">
        <is>
          <t>Статус</t>
        </is>
      </c>
    </row>
    <row r="2">
      <c r="A2" t="inlineStr">
        <is>
          <t>Т-001</t>
        </is>
      </c>
      <c r="B2">
        <f>VLOOKUP(A2,'Справочник номенклатуры'!A:B,2,FALSE)</f>
        <v/>
      </c>
      <c r="C2" t="n">
        <v>50</v>
      </c>
      <c r="D2">
        <f>SUMIF('Приходные ордера'!C:C, A2, 'Приходные ордера'!E:E)</f>
        <v/>
      </c>
      <c r="E2">
        <f>SUMIF('Расходные ордера'!C:C, A2, 'Расходные ордера'!E:E)</f>
        <v/>
      </c>
      <c r="F2">
        <f>C2+D2-E2</f>
        <v/>
      </c>
      <c r="G2">
        <f>VLOOKUP(A2,'Справочник номенклатуры'!A:G,7,FALSE)</f>
        <v/>
      </c>
      <c r="H2">
        <f>IF(F2&lt;G2,"Заказать","ОК")</f>
        <v/>
      </c>
    </row>
    <row r="3">
      <c r="A3" t="inlineStr">
        <is>
          <t>Т-002</t>
        </is>
      </c>
      <c r="B3">
        <f>VLOOKUP(A3,'Справочник номенклатуры'!A:B,2,FALSE)</f>
        <v/>
      </c>
      <c r="C3" t="n">
        <v>50</v>
      </c>
      <c r="D3">
        <f>SUMIF('Приходные ордера'!C:C, A3, 'Приходные ордера'!E:E)</f>
        <v/>
      </c>
      <c r="E3">
        <f>SUMIF('Расходные ордера'!C:C, A3, 'Расходные ордера'!E:E)</f>
        <v/>
      </c>
      <c r="F3">
        <f>C3+D3-E3</f>
        <v/>
      </c>
      <c r="G3">
        <f>VLOOKUP(A3,'Справочник номенклатуры'!A:G,7,FALSE)</f>
        <v/>
      </c>
      <c r="H3">
        <f>IF(F3&lt;G3,"Заказать","ОК")</f>
        <v/>
      </c>
    </row>
    <row r="4">
      <c r="A4" t="inlineStr">
        <is>
          <t>Т-003</t>
        </is>
      </c>
      <c r="B4">
        <f>VLOOKUP(A4,'Справочник номенклатуры'!A:B,2,FALSE)</f>
        <v/>
      </c>
      <c r="C4" t="n">
        <v>50</v>
      </c>
      <c r="D4">
        <f>SUMIF('Приходные ордера'!C:C, A4, 'Приходные ордера'!E:E)</f>
        <v/>
      </c>
      <c r="E4">
        <f>SUMIF('Расходные ордера'!C:C, A4, 'Расходные ордера'!E:E)</f>
        <v/>
      </c>
      <c r="F4">
        <f>C4+D4-E4</f>
        <v/>
      </c>
      <c r="G4">
        <f>VLOOKUP(A4,'Справочник номенклатуры'!A:G,7,FALSE)</f>
        <v/>
      </c>
      <c r="H4">
        <f>IF(F4&lt;G4,"Заказать","ОК")</f>
        <v/>
      </c>
    </row>
    <row r="5">
      <c r="A5" t="inlineStr">
        <is>
          <t>Т-004</t>
        </is>
      </c>
      <c r="B5">
        <f>VLOOKUP(A5,'Справочник номенклатуры'!A:B,2,FALSE)</f>
        <v/>
      </c>
      <c r="C5" t="n">
        <v>50</v>
      </c>
      <c r="D5">
        <f>SUMIF('Приходные ордера'!C:C, A5, 'Приходные ордера'!E:E)</f>
        <v/>
      </c>
      <c r="E5">
        <f>SUMIF('Расходные ордера'!C:C, A5, 'Расходные ордера'!E:E)</f>
        <v/>
      </c>
      <c r="F5">
        <f>C5+D5-E5</f>
        <v/>
      </c>
      <c r="G5">
        <f>VLOOKUP(A5,'Справочник номенклатуры'!A:G,7,FALSE)</f>
        <v/>
      </c>
      <c r="H5">
        <f>IF(F5&lt;G5,"Заказать","ОК")</f>
        <v/>
      </c>
    </row>
    <row r="6">
      <c r="A6" t="inlineStr">
        <is>
          <t>Т-005</t>
        </is>
      </c>
      <c r="B6">
        <f>VLOOKUP(A6,'Справочник номенклатуры'!A:B,2,FALSE)</f>
        <v/>
      </c>
      <c r="C6" t="n">
        <v>50</v>
      </c>
      <c r="D6">
        <f>SUMIF('Приходные ордера'!C:C, A6, 'Приходные ордера'!E:E)</f>
        <v/>
      </c>
      <c r="E6">
        <f>SUMIF('Расходные ордера'!C:C, A6, 'Расходные ордера'!E:E)</f>
        <v/>
      </c>
      <c r="F6">
        <f>C6+D6-E6</f>
        <v/>
      </c>
      <c r="G6">
        <f>VLOOKUP(A6,'Справочник номенклатуры'!A:G,7,FALSE)</f>
        <v/>
      </c>
      <c r="H6">
        <f>IF(F6&lt;G6,"Заказать","ОК")</f>
        <v/>
      </c>
    </row>
    <row r="7">
      <c r="A7" t="inlineStr">
        <is>
          <t>Т-006</t>
        </is>
      </c>
      <c r="B7">
        <f>VLOOKUP(A7,'Справочник номенклатуры'!A:B,2,FALSE)</f>
        <v/>
      </c>
      <c r="C7" t="n">
        <v>50</v>
      </c>
      <c r="D7">
        <f>SUMIF('Приходные ордера'!C:C, A7, 'Приходные ордера'!E:E)</f>
        <v/>
      </c>
      <c r="E7">
        <f>SUMIF('Расходные ордера'!C:C, A7, 'Расходные ордера'!E:E)</f>
        <v/>
      </c>
      <c r="F7">
        <f>C7+D7-E7</f>
        <v/>
      </c>
      <c r="G7">
        <f>VLOOKUP(A7,'Справочник номенклатуры'!A:G,7,FALSE)</f>
        <v/>
      </c>
      <c r="H7">
        <f>IF(F7&lt;G7,"Заказать","ОК")</f>
        <v/>
      </c>
    </row>
    <row r="8">
      <c r="A8" t="inlineStr">
        <is>
          <t>Т-007</t>
        </is>
      </c>
      <c r="B8">
        <f>VLOOKUP(A8,'Справочник номенклатуры'!A:B,2,FALSE)</f>
        <v/>
      </c>
      <c r="C8" t="n">
        <v>50</v>
      </c>
      <c r="D8">
        <f>SUMIF('Приходные ордера'!C:C, A8, 'Приходные ордера'!E:E)</f>
        <v/>
      </c>
      <c r="E8">
        <f>SUMIF('Расходные ордера'!C:C, A8, 'Расходные ордера'!E:E)</f>
        <v/>
      </c>
      <c r="F8">
        <f>C8+D8-E8</f>
        <v/>
      </c>
      <c r="G8">
        <f>VLOOKUP(A8,'Справочник номенклатуры'!A:G,7,FALSE)</f>
        <v/>
      </c>
      <c r="H8">
        <f>IF(F8&lt;G8,"Заказать","ОК")</f>
        <v/>
      </c>
    </row>
    <row r="9">
      <c r="A9" t="inlineStr">
        <is>
          <t>Т-008</t>
        </is>
      </c>
      <c r="B9">
        <f>VLOOKUP(A9,'Справочник номенклатуры'!A:B,2,FALSE)</f>
        <v/>
      </c>
      <c r="C9" t="n">
        <v>50</v>
      </c>
      <c r="D9">
        <f>SUMIF('Приходные ордера'!C:C, A9, 'Приходные ордера'!E:E)</f>
        <v/>
      </c>
      <c r="E9">
        <f>SUMIF('Расходные ордера'!C:C, A9, 'Расходные ордера'!E:E)</f>
        <v/>
      </c>
      <c r="F9">
        <f>C9+D9-E9</f>
        <v/>
      </c>
      <c r="G9">
        <f>VLOOKUP(A9,'Справочник номенклатуры'!A:G,7,FALSE)</f>
        <v/>
      </c>
      <c r="H9">
        <f>IF(F9&lt;G9,"Заказать","ОК")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№ заказа</t>
        </is>
      </c>
      <c r="B1" s="1" t="inlineStr">
        <is>
          <t>Дата</t>
        </is>
      </c>
      <c r="C1" s="1" t="inlineStr">
        <is>
          <t>Клиент</t>
        </is>
      </c>
      <c r="D1" s="1" t="inlineStr">
        <is>
          <t>Код товара</t>
        </is>
      </c>
      <c r="E1" s="1" t="inlineStr">
        <is>
          <t>Наименование</t>
        </is>
      </c>
      <c r="F1" s="1" t="inlineStr">
        <is>
          <t>Кол-во</t>
        </is>
      </c>
      <c r="G1" s="1" t="inlineStr">
        <is>
          <t>Цена</t>
        </is>
      </c>
      <c r="H1" s="1" t="inlineStr">
        <is>
          <t>Сумма</t>
        </is>
      </c>
      <c r="I1" s="1" t="inlineStr">
        <is>
          <t>Скидка %</t>
        </is>
      </c>
      <c r="J1" s="1" t="inlineStr">
        <is>
          <t>Сумма со скидкой</t>
        </is>
      </c>
      <c r="K1" s="1" t="inlineStr">
        <is>
          <t>Статус</t>
        </is>
      </c>
    </row>
    <row r="2">
      <c r="A2" t="inlineStr">
        <is>
          <t>З-001</t>
        </is>
      </c>
      <c r="B2" t="inlineStr">
        <is>
          <t>10.11.2026</t>
        </is>
      </c>
      <c r="C2" t="inlineStr">
        <is>
          <t>ИП Иванов</t>
        </is>
      </c>
      <c r="D2" t="inlineStr">
        <is>
          <t>Т-006</t>
        </is>
      </c>
      <c r="E2">
        <f>VLOOKUP(D2,'Справочник номенклатуры'!A:B,2,FALSE)</f>
        <v/>
      </c>
      <c r="F2" t="n">
        <v>5</v>
      </c>
      <c r="G2">
        <f>VLOOKUP(D2,'Справочник номенклатуры'!A:F,6,FALSE)</f>
        <v/>
      </c>
      <c r="H2">
        <f>F2*G2</f>
        <v/>
      </c>
      <c r="I2" t="n">
        <v>2</v>
      </c>
      <c r="J2">
        <f>H2*(1-I2/100)</f>
        <v/>
      </c>
      <c r="K2" t="inlineStr">
        <is>
          <t>Отгружен</t>
        </is>
      </c>
    </row>
    <row r="3">
      <c r="A3" t="inlineStr">
        <is>
          <t>З-002</t>
        </is>
      </c>
      <c r="B3" t="inlineStr">
        <is>
          <t>10.11.2026</t>
        </is>
      </c>
      <c r="C3" t="inlineStr">
        <is>
          <t>МебельТорг</t>
        </is>
      </c>
      <c r="D3" t="inlineStr">
        <is>
          <t>Т-008</t>
        </is>
      </c>
      <c r="E3">
        <f>VLOOKUP(D3,'Справочник номенклатуры'!A:B,2,FALSE)</f>
        <v/>
      </c>
      <c r="F3" t="n">
        <v>9</v>
      </c>
      <c r="G3">
        <f>VLOOKUP(D3,'Справочник номенклатуры'!A:F,6,FALSE)</f>
        <v/>
      </c>
      <c r="H3">
        <f>F3*G3</f>
        <v/>
      </c>
      <c r="I3" t="n">
        <v>8</v>
      </c>
      <c r="J3">
        <f>H3*(1-I3/100)</f>
        <v/>
      </c>
      <c r="K3" t="inlineStr">
        <is>
          <t>Отгружен</t>
        </is>
      </c>
    </row>
    <row r="4">
      <c r="A4" t="inlineStr">
        <is>
          <t>З-003</t>
        </is>
      </c>
      <c r="B4" t="inlineStr">
        <is>
          <t>10.11.2026</t>
        </is>
      </c>
      <c r="C4" t="inlineStr">
        <is>
          <t>ИП Иванов</t>
        </is>
      </c>
      <c r="D4" t="inlineStr">
        <is>
          <t>Т-008</t>
        </is>
      </c>
      <c r="E4">
        <f>VLOOKUP(D4,'Справочник номенклатуры'!A:B,2,FALSE)</f>
        <v/>
      </c>
      <c r="F4" t="n">
        <v>10</v>
      </c>
      <c r="G4">
        <f>VLOOKUP(D4,'Справочник номенклатуры'!A:F,6,FALSE)</f>
        <v/>
      </c>
      <c r="H4">
        <f>F4*G4</f>
        <v/>
      </c>
      <c r="I4" t="n">
        <v>6</v>
      </c>
      <c r="J4">
        <f>H4*(1-I4/100)</f>
        <v/>
      </c>
      <c r="K4" t="inlineStr">
        <is>
          <t>Отгружен</t>
        </is>
      </c>
    </row>
    <row r="5">
      <c r="A5" t="inlineStr">
        <is>
          <t>З-004</t>
        </is>
      </c>
      <c r="B5" t="inlineStr">
        <is>
          <t>10.11.2026</t>
        </is>
      </c>
      <c r="C5" t="inlineStr">
        <is>
          <t>ИП Иванов</t>
        </is>
      </c>
      <c r="D5" t="inlineStr">
        <is>
          <t>Т-007</t>
        </is>
      </c>
      <c r="E5">
        <f>VLOOKUP(D5,'Справочник номенклатуры'!A:B,2,FALSE)</f>
        <v/>
      </c>
      <c r="F5" t="n">
        <v>4</v>
      </c>
      <c r="G5">
        <f>VLOOKUP(D5,'Справочник номенклатуры'!A:F,6,FALSE)</f>
        <v/>
      </c>
      <c r="H5">
        <f>F5*G5</f>
        <v/>
      </c>
      <c r="I5" t="n">
        <v>2</v>
      </c>
      <c r="J5">
        <f>H5*(1-I5/100)</f>
        <v/>
      </c>
      <c r="K5" t="inlineStr">
        <is>
          <t>Отгружен</t>
        </is>
      </c>
    </row>
    <row r="6">
      <c r="A6" t="inlineStr">
        <is>
          <t>З-005</t>
        </is>
      </c>
      <c r="B6" t="inlineStr">
        <is>
          <t>10.11.2026</t>
        </is>
      </c>
      <c r="C6" t="inlineStr">
        <is>
          <t>ИП Иванов</t>
        </is>
      </c>
      <c r="D6" t="inlineStr">
        <is>
          <t>Т-006</t>
        </is>
      </c>
      <c r="E6">
        <f>VLOOKUP(D6,'Справочник номенклатуры'!A:B,2,FALSE)</f>
        <v/>
      </c>
      <c r="F6" t="n">
        <v>1</v>
      </c>
      <c r="G6">
        <f>VLOOKUP(D6,'Справочник номенклатуры'!A:F,6,FALSE)</f>
        <v/>
      </c>
      <c r="H6">
        <f>F6*G6</f>
        <v/>
      </c>
      <c r="I6" t="n">
        <v>1</v>
      </c>
      <c r="J6">
        <f>H6*(1-I6/100)</f>
        <v/>
      </c>
      <c r="K6" t="inlineStr">
        <is>
          <t>Отгружен</t>
        </is>
      </c>
    </row>
    <row r="7">
      <c r="A7" t="inlineStr">
        <is>
          <t>З-006</t>
        </is>
      </c>
      <c r="B7" t="inlineStr">
        <is>
          <t>10.11.2026</t>
        </is>
      </c>
      <c r="C7" t="inlineStr">
        <is>
          <t>МебельТорг</t>
        </is>
      </c>
      <c r="D7" t="inlineStr">
        <is>
          <t>Т-008</t>
        </is>
      </c>
      <c r="E7">
        <f>VLOOKUP(D7,'Справочник номенклатуры'!A:B,2,FALSE)</f>
        <v/>
      </c>
      <c r="F7" t="n">
        <v>3</v>
      </c>
      <c r="G7">
        <f>VLOOKUP(D7,'Справочник номенклатуры'!A:F,6,FALSE)</f>
        <v/>
      </c>
      <c r="H7">
        <f>F7*G7</f>
        <v/>
      </c>
      <c r="I7" t="n">
        <v>10</v>
      </c>
      <c r="J7">
        <f>H7*(1-I7/100)</f>
        <v/>
      </c>
      <c r="K7" t="inlineStr">
        <is>
          <t>Отгружен</t>
        </is>
      </c>
    </row>
    <row r="8">
      <c r="A8" t="inlineStr">
        <is>
          <t>З-007</t>
        </is>
      </c>
      <c r="B8" t="inlineStr">
        <is>
          <t>10.11.2026</t>
        </is>
      </c>
      <c r="C8" t="inlineStr">
        <is>
          <t>ИП Иванов</t>
        </is>
      </c>
      <c r="D8" t="inlineStr">
        <is>
          <t>Т-008</t>
        </is>
      </c>
      <c r="E8">
        <f>VLOOKUP(D8,'Справочник номенклатуры'!A:B,2,FALSE)</f>
        <v/>
      </c>
      <c r="F8" t="n">
        <v>2</v>
      </c>
      <c r="G8">
        <f>VLOOKUP(D8,'Справочник номенклатуры'!A:F,6,FALSE)</f>
        <v/>
      </c>
      <c r="H8">
        <f>F8*G8</f>
        <v/>
      </c>
      <c r="I8" t="n">
        <v>6</v>
      </c>
      <c r="J8">
        <f>H8*(1-I8/100)</f>
        <v/>
      </c>
      <c r="K8" t="inlineStr">
        <is>
          <t>Отгружен</t>
        </is>
      </c>
    </row>
    <row r="9">
      <c r="A9" t="inlineStr">
        <is>
          <t>З-008</t>
        </is>
      </c>
      <c r="B9" t="inlineStr">
        <is>
          <t>10.11.2026</t>
        </is>
      </c>
      <c r="C9" t="inlineStr">
        <is>
          <t>ИП Иванов</t>
        </is>
      </c>
      <c r="D9" t="inlineStr">
        <is>
          <t>Т-008</t>
        </is>
      </c>
      <c r="E9">
        <f>VLOOKUP(D9,'Справочник номенклатуры'!A:B,2,FALSE)</f>
        <v/>
      </c>
      <c r="F9" t="n">
        <v>8</v>
      </c>
      <c r="G9">
        <f>VLOOKUP(D9,'Справочник номенклатуры'!A:F,6,FALSE)</f>
        <v/>
      </c>
      <c r="H9">
        <f>F9*G9</f>
        <v/>
      </c>
      <c r="I9" t="n">
        <v>8</v>
      </c>
      <c r="J9">
        <f>H9*(1-I9/100)</f>
        <v/>
      </c>
      <c r="K9" t="inlineStr">
        <is>
          <t>Отгружен</t>
        </is>
      </c>
    </row>
    <row r="10">
      <c r="A10" t="inlineStr">
        <is>
          <t>З-009</t>
        </is>
      </c>
      <c r="B10" t="inlineStr">
        <is>
          <t>10.11.2026</t>
        </is>
      </c>
      <c r="C10" t="inlineStr">
        <is>
          <t>ИП Иванов</t>
        </is>
      </c>
      <c r="D10" t="inlineStr">
        <is>
          <t>Т-008</t>
        </is>
      </c>
      <c r="E10">
        <f>VLOOKUP(D10,'Справочник номенклатуры'!A:B,2,FALSE)</f>
        <v/>
      </c>
      <c r="F10" t="n">
        <v>1</v>
      </c>
      <c r="G10">
        <f>VLOOKUP(D10,'Справочник номенклатуры'!A:F,6,FALSE)</f>
        <v/>
      </c>
      <c r="H10">
        <f>F10*G10</f>
        <v/>
      </c>
      <c r="I10" t="n">
        <v>10</v>
      </c>
      <c r="J10">
        <f>H10*(1-I10/100)</f>
        <v/>
      </c>
      <c r="K10" t="inlineStr">
        <is>
          <t>Отгружен</t>
        </is>
      </c>
    </row>
    <row r="11">
      <c r="A11" t="inlineStr">
        <is>
          <t>З-010</t>
        </is>
      </c>
      <c r="B11" t="inlineStr">
        <is>
          <t>10.11.2026</t>
        </is>
      </c>
      <c r="C11" t="inlineStr">
        <is>
          <t>МебельТорг</t>
        </is>
      </c>
      <c r="D11" t="inlineStr">
        <is>
          <t>Т-008</t>
        </is>
      </c>
      <c r="E11">
        <f>VLOOKUP(D11,'Справочник номенклатуры'!A:B,2,FALSE)</f>
        <v/>
      </c>
      <c r="F11" t="n">
        <v>9</v>
      </c>
      <c r="G11">
        <f>VLOOKUP(D11,'Справочник номенклатуры'!A:F,6,FALSE)</f>
        <v/>
      </c>
      <c r="H11">
        <f>F11*G11</f>
        <v/>
      </c>
      <c r="I11" t="n">
        <v>4</v>
      </c>
      <c r="J11">
        <f>H11*(1-I11/100)</f>
        <v/>
      </c>
      <c r="K11" t="inlineStr">
        <is>
          <t>Отгружен</t>
        </is>
      </c>
    </row>
    <row r="12">
      <c r="A12" t="inlineStr">
        <is>
          <t>З-011</t>
        </is>
      </c>
      <c r="B12" t="inlineStr">
        <is>
          <t>10.11.2026</t>
        </is>
      </c>
      <c r="C12" t="inlineStr">
        <is>
          <t>ИП Иванов</t>
        </is>
      </c>
      <c r="D12" t="inlineStr">
        <is>
          <t>Т-006</t>
        </is>
      </c>
      <c r="E12">
        <f>VLOOKUP(D12,'Справочник номенклатуры'!A:B,2,FALSE)</f>
        <v/>
      </c>
      <c r="F12" t="n">
        <v>5</v>
      </c>
      <c r="G12">
        <f>VLOOKUP(D12,'Справочник номенклатуры'!A:F,6,FALSE)</f>
        <v/>
      </c>
      <c r="H12">
        <f>F12*G12</f>
        <v/>
      </c>
      <c r="I12" t="n">
        <v>6</v>
      </c>
      <c r="J12">
        <f>H12*(1-I12/100)</f>
        <v/>
      </c>
      <c r="K12" t="inlineStr">
        <is>
          <t>Отгружен</t>
        </is>
      </c>
    </row>
    <row r="13">
      <c r="A13" t="inlineStr">
        <is>
          <t>З-012</t>
        </is>
      </c>
      <c r="B13" t="inlineStr">
        <is>
          <t>10.11.2026</t>
        </is>
      </c>
      <c r="C13" t="inlineStr">
        <is>
          <t>МебельТорг</t>
        </is>
      </c>
      <c r="D13" t="inlineStr">
        <is>
          <t>Т-007</t>
        </is>
      </c>
      <c r="E13">
        <f>VLOOKUP(D13,'Справочник номенклатуры'!A:B,2,FALSE)</f>
        <v/>
      </c>
      <c r="F13" t="n">
        <v>1</v>
      </c>
      <c r="G13">
        <f>VLOOKUP(D13,'Справочник номенклатуры'!A:F,6,FALSE)</f>
        <v/>
      </c>
      <c r="H13">
        <f>F13*G13</f>
        <v/>
      </c>
      <c r="I13" t="n">
        <v>4</v>
      </c>
      <c r="J13">
        <f>H13*(1-I13/100)</f>
        <v/>
      </c>
      <c r="K13" t="inlineStr">
        <is>
          <t>Отгружен</t>
        </is>
      </c>
    </row>
    <row r="14">
      <c r="A14" t="inlineStr">
        <is>
          <t>З-013</t>
        </is>
      </c>
      <c r="B14" t="inlineStr">
        <is>
          <t>10.11.2026</t>
        </is>
      </c>
      <c r="C14" t="inlineStr">
        <is>
          <t>МебельТорг</t>
        </is>
      </c>
      <c r="D14" t="inlineStr">
        <is>
          <t>Т-008</t>
        </is>
      </c>
      <c r="E14">
        <f>VLOOKUP(D14,'Справочник номенклатуры'!A:B,2,FALSE)</f>
        <v/>
      </c>
      <c r="F14" t="n">
        <v>2</v>
      </c>
      <c r="G14">
        <f>VLOOKUP(D14,'Справочник номенклатуры'!A:F,6,FALSE)</f>
        <v/>
      </c>
      <c r="H14">
        <f>F14*G14</f>
        <v/>
      </c>
      <c r="I14" t="n">
        <v>10</v>
      </c>
      <c r="J14">
        <f>H14*(1-I14/100)</f>
        <v/>
      </c>
      <c r="K14" t="inlineStr">
        <is>
          <t>Отгружен</t>
        </is>
      </c>
    </row>
    <row r="15">
      <c r="A15" t="inlineStr">
        <is>
          <t>З-014</t>
        </is>
      </c>
      <c r="B15" t="inlineStr">
        <is>
          <t>10.11.2026</t>
        </is>
      </c>
      <c r="C15" t="inlineStr">
        <is>
          <t>ИП Иванов</t>
        </is>
      </c>
      <c r="D15" t="inlineStr">
        <is>
          <t>Т-008</t>
        </is>
      </c>
      <c r="E15">
        <f>VLOOKUP(D15,'Справочник номенклатуры'!A:B,2,FALSE)</f>
        <v/>
      </c>
      <c r="F15" t="n">
        <v>9</v>
      </c>
      <c r="G15">
        <f>VLOOKUP(D15,'Справочник номенклатуры'!A:F,6,FALSE)</f>
        <v/>
      </c>
      <c r="H15">
        <f>F15*G15</f>
        <v/>
      </c>
      <c r="I15" t="n">
        <v>9</v>
      </c>
      <c r="J15">
        <f>H15*(1-I15/100)</f>
        <v/>
      </c>
      <c r="K15" t="inlineStr">
        <is>
          <t>Отгружен</t>
        </is>
      </c>
    </row>
    <row r="16">
      <c r="A16" t="inlineStr">
        <is>
          <t>З-015</t>
        </is>
      </c>
      <c r="B16" t="inlineStr">
        <is>
          <t>10.11.2026</t>
        </is>
      </c>
      <c r="C16" t="inlineStr">
        <is>
          <t>МебельТорг</t>
        </is>
      </c>
      <c r="D16" t="inlineStr">
        <is>
          <t>Т-006</t>
        </is>
      </c>
      <c r="E16">
        <f>VLOOKUP(D16,'Справочник номенклатуры'!A:B,2,FALSE)</f>
        <v/>
      </c>
      <c r="F16" t="n">
        <v>6</v>
      </c>
      <c r="G16">
        <f>VLOOKUP(D16,'Справочник номенклатуры'!A:F,6,FALSE)</f>
        <v/>
      </c>
      <c r="H16">
        <f>F16*G16</f>
        <v/>
      </c>
      <c r="I16" t="n">
        <v>2</v>
      </c>
      <c r="J16">
        <f>H16*(1-I16/100)</f>
        <v/>
      </c>
      <c r="K16" t="inlineStr">
        <is>
          <t>Отгружен</t>
        </is>
      </c>
    </row>
    <row r="17">
      <c r="A17" t="inlineStr">
        <is>
          <t>З-016</t>
        </is>
      </c>
      <c r="B17" t="inlineStr">
        <is>
          <t>10.11.2026</t>
        </is>
      </c>
      <c r="C17" t="inlineStr">
        <is>
          <t>МебельТорг</t>
        </is>
      </c>
      <c r="D17" t="inlineStr">
        <is>
          <t>Т-008</t>
        </is>
      </c>
      <c r="E17">
        <f>VLOOKUP(D17,'Справочник номенклатуры'!A:B,2,FALSE)</f>
        <v/>
      </c>
      <c r="F17" t="n">
        <v>6</v>
      </c>
      <c r="G17">
        <f>VLOOKUP(D17,'Справочник номенклатуры'!A:F,6,FALSE)</f>
        <v/>
      </c>
      <c r="H17">
        <f>F17*G17</f>
        <v/>
      </c>
      <c r="I17" t="n">
        <v>7</v>
      </c>
      <c r="J17">
        <f>H17*(1-I17/100)</f>
        <v/>
      </c>
      <c r="K17" t="inlineStr">
        <is>
          <t>Отгружен</t>
        </is>
      </c>
    </row>
    <row r="18">
      <c r="A18" t="inlineStr">
        <is>
          <t>З-017</t>
        </is>
      </c>
      <c r="B18" t="inlineStr">
        <is>
          <t>10.11.2026</t>
        </is>
      </c>
      <c r="C18" t="inlineStr">
        <is>
          <t>МебельТорг</t>
        </is>
      </c>
      <c r="D18" t="inlineStr">
        <is>
          <t>Т-006</t>
        </is>
      </c>
      <c r="E18">
        <f>VLOOKUP(D18,'Справочник номенклатуры'!A:B,2,FALSE)</f>
        <v/>
      </c>
      <c r="F18" t="n">
        <v>6</v>
      </c>
      <c r="G18">
        <f>VLOOKUP(D18,'Справочник номенклатуры'!A:F,6,FALSE)</f>
        <v/>
      </c>
      <c r="H18">
        <f>F18*G18</f>
        <v/>
      </c>
      <c r="I18" t="n">
        <v>4</v>
      </c>
      <c r="J18">
        <f>H18*(1-I18/100)</f>
        <v/>
      </c>
      <c r="K18" t="inlineStr">
        <is>
          <t>Отгружен</t>
        </is>
      </c>
    </row>
    <row r="19">
      <c r="A19" t="inlineStr">
        <is>
          <t>З-018</t>
        </is>
      </c>
      <c r="B19" t="inlineStr">
        <is>
          <t>10.11.2026</t>
        </is>
      </c>
      <c r="C19" t="inlineStr">
        <is>
          <t>МебельТорг</t>
        </is>
      </c>
      <c r="D19" t="inlineStr">
        <is>
          <t>Т-006</t>
        </is>
      </c>
      <c r="E19">
        <f>VLOOKUP(D19,'Справочник номенклатуры'!A:B,2,FALSE)</f>
        <v/>
      </c>
      <c r="F19" t="n">
        <v>4</v>
      </c>
      <c r="G19">
        <f>VLOOKUP(D19,'Справочник номенклатуры'!A:F,6,FALSE)</f>
        <v/>
      </c>
      <c r="H19">
        <f>F19*G19</f>
        <v/>
      </c>
      <c r="I19" t="n">
        <v>9</v>
      </c>
      <c r="J19">
        <f>H19*(1-I19/100)</f>
        <v/>
      </c>
      <c r="K19" t="inlineStr">
        <is>
          <t>Отгружен</t>
        </is>
      </c>
    </row>
    <row r="20">
      <c r="A20" t="inlineStr">
        <is>
          <t>З-019</t>
        </is>
      </c>
      <c r="B20" t="inlineStr">
        <is>
          <t>10.11.2026</t>
        </is>
      </c>
      <c r="C20" t="inlineStr">
        <is>
          <t>МебельТорг</t>
        </is>
      </c>
      <c r="D20" t="inlineStr">
        <is>
          <t>Т-006</t>
        </is>
      </c>
      <c r="E20">
        <f>VLOOKUP(D20,'Справочник номенклатуры'!A:B,2,FALSE)</f>
        <v/>
      </c>
      <c r="F20" t="n">
        <v>8</v>
      </c>
      <c r="G20">
        <f>VLOOKUP(D20,'Справочник номенклатуры'!A:F,6,FALSE)</f>
        <v/>
      </c>
      <c r="H20">
        <f>F20*G20</f>
        <v/>
      </c>
      <c r="I20" t="n">
        <v>1</v>
      </c>
      <c r="J20">
        <f>H20*(1-I20/100)</f>
        <v/>
      </c>
      <c r="K20" t="inlineStr">
        <is>
          <t>Отгружен</t>
        </is>
      </c>
    </row>
    <row r="21">
      <c r="A21" t="inlineStr">
        <is>
          <t>З-020</t>
        </is>
      </c>
      <c r="B21" t="inlineStr">
        <is>
          <t>10.11.2026</t>
        </is>
      </c>
      <c r="C21" t="inlineStr">
        <is>
          <t>МебельТорг</t>
        </is>
      </c>
      <c r="D21" t="inlineStr">
        <is>
          <t>Т-006</t>
        </is>
      </c>
      <c r="E21">
        <f>VLOOKUP(D21,'Справочник номенклатуры'!A:B,2,FALSE)</f>
        <v/>
      </c>
      <c r="F21" t="n">
        <v>8</v>
      </c>
      <c r="G21">
        <f>VLOOKUP(D21,'Справочник номенклатуры'!A:F,6,FALSE)</f>
        <v/>
      </c>
      <c r="H21">
        <f>F21*G21</f>
        <v/>
      </c>
      <c r="I21" t="n">
        <v>8</v>
      </c>
      <c r="J21">
        <f>H21*(1-I21/100)</f>
        <v/>
      </c>
      <c r="K21" t="inlineStr">
        <is>
          <t>Отгружен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Код изделия</t>
        </is>
      </c>
      <c r="B1" s="1" t="inlineStr">
        <is>
          <t>Изделие</t>
        </is>
      </c>
      <c r="C1" s="1" t="inlineStr">
        <is>
          <t>Код компонента</t>
        </is>
      </c>
      <c r="D1" s="1" t="inlineStr">
        <is>
          <t>Компонент</t>
        </is>
      </c>
      <c r="E1" s="1" t="inlineStr">
        <is>
          <t>Кол-во на ед.</t>
        </is>
      </c>
    </row>
    <row r="2">
      <c r="A2" t="inlineStr">
        <is>
          <t>Т-006</t>
        </is>
      </c>
      <c r="B2" t="inlineStr">
        <is>
          <t>Стол</t>
        </is>
      </c>
      <c r="C2" t="inlineStr">
        <is>
          <t>Т-001</t>
        </is>
      </c>
      <c r="D2" t="inlineStr">
        <is>
          <t>Доска</t>
        </is>
      </c>
      <c r="E2" t="n">
        <v>5</v>
      </c>
    </row>
    <row r="3">
      <c r="A3" t="inlineStr">
        <is>
          <t>Т-006</t>
        </is>
      </c>
      <c r="B3" t="inlineStr">
        <is>
          <t>Стол</t>
        </is>
      </c>
      <c r="C3" t="inlineStr">
        <is>
          <t>Т-002</t>
        </is>
      </c>
      <c r="D3" t="inlineStr">
        <is>
          <t>Ножка</t>
        </is>
      </c>
      <c r="E3" t="n">
        <v>4</v>
      </c>
    </row>
    <row r="4">
      <c r="A4" t="inlineStr">
        <is>
          <t>Т-006</t>
        </is>
      </c>
      <c r="B4" t="inlineStr">
        <is>
          <t>Стол</t>
        </is>
      </c>
      <c r="C4" t="inlineStr">
        <is>
          <t>Т-003</t>
        </is>
      </c>
      <c r="D4" t="inlineStr">
        <is>
          <t>Шуруп</t>
        </is>
      </c>
      <c r="E4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Код изделия</t>
        </is>
      </c>
      <c r="B1" s="1" t="inlineStr">
        <is>
          <t>Наименование</t>
        </is>
      </c>
      <c r="C1" s="1" t="inlineStr">
        <is>
          <t>Неделя 1</t>
        </is>
      </c>
      <c r="D1" s="1" t="inlineStr">
        <is>
          <t>Неделя 2</t>
        </is>
      </c>
      <c r="E1" s="1" t="inlineStr">
        <is>
          <t>Неделя 3</t>
        </is>
      </c>
      <c r="F1" s="1" t="inlineStr">
        <is>
          <t>Неделя 4</t>
        </is>
      </c>
      <c r="G1" s="1" t="inlineStr">
        <is>
          <t>Итого</t>
        </is>
      </c>
    </row>
    <row r="2">
      <c r="A2" t="inlineStr">
        <is>
          <t>Т-006</t>
        </is>
      </c>
      <c r="B2" t="inlineStr">
        <is>
          <t>Стол</t>
        </is>
      </c>
      <c r="C2" t="n">
        <v>10</v>
      </c>
      <c r="D2" t="n">
        <v>15</v>
      </c>
      <c r="E2" t="n">
        <v>10</v>
      </c>
      <c r="F2" t="n">
        <v>20</v>
      </c>
      <c r="G2">
        <f>SUM(C2:F2)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Код компонента</t>
        </is>
      </c>
      <c r="B1" s="1" t="inlineStr">
        <is>
          <t>Наименование</t>
        </is>
      </c>
      <c r="C1" s="1" t="inlineStr">
        <is>
          <t>Потребность</t>
        </is>
      </c>
      <c r="D1" s="1" t="inlineStr">
        <is>
          <t>Текущий остаток</t>
        </is>
      </c>
      <c r="E1" s="1" t="inlineStr">
        <is>
          <t>Закупить</t>
        </is>
      </c>
      <c r="F1" s="1" t="inlineStr">
        <is>
          <t>Цена</t>
        </is>
      </c>
      <c r="G1" s="1" t="inlineStr">
        <is>
          <t>Сумма закупки</t>
        </is>
      </c>
    </row>
    <row r="2">
      <c r="A2" t="inlineStr">
        <is>
          <t>Т-001</t>
        </is>
      </c>
      <c r="B2" t="inlineStr">
        <is>
          <t>Доска</t>
        </is>
      </c>
      <c r="C2">
        <f>SUMPRODUCT('План производства'!G2*'Спецификации'!E2)</f>
        <v/>
      </c>
      <c r="D2">
        <f>VLOOKUP(A2,'Остатки'!A:F,6,FALSE)</f>
        <v/>
      </c>
      <c r="E2">
        <f>MAX(0, C2-D2)</f>
        <v/>
      </c>
      <c r="F2">
        <f>VLOOKUP(A2,'Справочник номенклатуры'!A:E,5,FALSE)</f>
        <v/>
      </c>
      <c r="G2">
        <f>E2*F2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Показатель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Итого</t>
        </is>
      </c>
    </row>
    <row r="2">
      <c r="A2" t="inlineStr">
        <is>
          <t>Объём продаж (шт)</t>
        </is>
      </c>
      <c r="B2" t="n">
        <v>1000</v>
      </c>
      <c r="C2" t="n">
        <v>1200</v>
      </c>
      <c r="D2" t="n">
        <v>1500</v>
      </c>
      <c r="E2" t="n">
        <v>1300</v>
      </c>
      <c r="F2">
        <f>SUM(B2:E2)</f>
        <v/>
      </c>
    </row>
    <row r="3">
      <c r="A3" t="inlineStr">
        <is>
          <t>Цена (руб)</t>
        </is>
      </c>
      <c r="B3" t="n">
        <v>500</v>
      </c>
      <c r="C3" t="n">
        <v>500</v>
      </c>
      <c r="D3" t="n">
        <v>500</v>
      </c>
      <c r="E3" t="n">
        <v>500</v>
      </c>
      <c r="F3" t="inlineStr"/>
    </row>
    <row r="4">
      <c r="A4" t="inlineStr">
        <is>
          <t>Выручка</t>
        </is>
      </c>
      <c r="B4">
        <f>B2*B3</f>
        <v/>
      </c>
      <c r="C4">
        <f>C2*C3</f>
        <v/>
      </c>
      <c r="D4">
        <f>D2*D3</f>
        <v/>
      </c>
      <c r="E4">
        <f>E2*E3</f>
        <v/>
      </c>
      <c r="F4">
        <f>SUM(B4:E4)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№ док</t>
        </is>
      </c>
      <c r="B1" s="1" t="inlineStr">
        <is>
          <t>Дата отгрузки</t>
        </is>
      </c>
      <c r="C1" s="1" t="inlineStr">
        <is>
          <t>Клиент</t>
        </is>
      </c>
      <c r="D1" s="1" t="inlineStr">
        <is>
          <t>Сумма</t>
        </is>
      </c>
      <c r="E1" s="1" t="inlineStr">
        <is>
          <t>Условия оплаты</t>
        </is>
      </c>
      <c r="F1" s="1" t="inlineStr">
        <is>
          <t>Плановая дата</t>
        </is>
      </c>
      <c r="G1" s="1" t="inlineStr">
        <is>
          <t>Факт дата</t>
        </is>
      </c>
      <c r="H1" s="1" t="inlineStr">
        <is>
          <t>Дни просрочки</t>
        </is>
      </c>
      <c r="I1" s="1" t="inlineStr">
        <is>
          <t>Статус</t>
        </is>
      </c>
    </row>
    <row r="2">
      <c r="A2" t="inlineStr">
        <is>
          <t>Р-001</t>
        </is>
      </c>
      <c r="B2" t="inlineStr">
        <is>
          <t>01.09.2026</t>
        </is>
      </c>
      <c r="C2" t="inlineStr">
        <is>
          <t>МебельТорг</t>
        </is>
      </c>
      <c r="D2" t="n">
        <v>27370</v>
      </c>
      <c r="E2">
        <f>VLOOKUP(C2,'Справочник контрагентов'!B:G,6,FALSE)</f>
        <v/>
      </c>
      <c r="F2">
        <f>B2+E2</f>
        <v/>
      </c>
      <c r="G2" t="inlineStr"/>
      <c r="H2">
        <f>IF(G2="", TODAY()-F2, G2-F2)</f>
        <v/>
      </c>
      <c r="I2">
        <f>IF(G2="", IF(H2&gt;0, "Просрочена", "Ожидается"), "Оплачена")</f>
        <v/>
      </c>
    </row>
    <row r="3">
      <c r="A3" t="inlineStr">
        <is>
          <t>Р-002</t>
        </is>
      </c>
      <c r="B3" t="inlineStr">
        <is>
          <t>01.09.2026</t>
        </is>
      </c>
      <c r="C3" t="inlineStr">
        <is>
          <t>ИП Иванов</t>
        </is>
      </c>
      <c r="D3" t="n">
        <v>23880</v>
      </c>
      <c r="E3">
        <f>VLOOKUP(C3,'Справочник контрагентов'!B:G,6,FALSE)</f>
        <v/>
      </c>
      <c r="F3">
        <f>B3+E3</f>
        <v/>
      </c>
      <c r="G3" t="inlineStr"/>
      <c r="H3">
        <f>IF(G3="", TODAY()-F3, G3-F3)</f>
        <v/>
      </c>
      <c r="I3">
        <f>IF(G3="", IF(H3&gt;0, "Просрочена", "Ожидается"), "Оплачена")</f>
        <v/>
      </c>
    </row>
    <row r="4">
      <c r="A4" t="inlineStr">
        <is>
          <t>Р-003</t>
        </is>
      </c>
      <c r="B4" t="inlineStr">
        <is>
          <t>01.09.2026</t>
        </is>
      </c>
      <c r="C4" t="inlineStr">
        <is>
          <t>МебельТорг</t>
        </is>
      </c>
      <c r="D4" t="n">
        <v>30428</v>
      </c>
      <c r="E4">
        <f>VLOOKUP(C4,'Справочник контрагентов'!B:G,6,FALSE)</f>
        <v/>
      </c>
      <c r="F4">
        <f>B4+E4</f>
        <v/>
      </c>
      <c r="G4" t="inlineStr"/>
      <c r="H4">
        <f>IF(G4="", TODAY()-F4, G4-F4)</f>
        <v/>
      </c>
      <c r="I4">
        <f>IF(G4="", IF(H4&gt;0, "Просрочена", "Ожидается"), "Оплачена")</f>
        <v/>
      </c>
    </row>
    <row r="5">
      <c r="A5" t="inlineStr">
        <is>
          <t>Р-004</t>
        </is>
      </c>
      <c r="B5" t="inlineStr">
        <is>
          <t>01.09.2026</t>
        </is>
      </c>
      <c r="C5" t="inlineStr">
        <is>
          <t>ИП Иванов</t>
        </is>
      </c>
      <c r="D5" t="n">
        <v>34472</v>
      </c>
      <c r="E5">
        <f>VLOOKUP(C5,'Справочник контрагентов'!B:G,6,FALSE)</f>
        <v/>
      </c>
      <c r="F5">
        <f>B5+E5</f>
        <v/>
      </c>
      <c r="G5" t="inlineStr"/>
      <c r="H5">
        <f>IF(G5="", TODAY()-F5, G5-F5)</f>
        <v/>
      </c>
      <c r="I5">
        <f>IF(G5="", IF(H5&gt;0, "Просрочена", "Ожидается"), "Оплачена")</f>
        <v/>
      </c>
    </row>
    <row r="6">
      <c r="A6" t="inlineStr">
        <is>
          <t>Р-005</t>
        </is>
      </c>
      <c r="B6" t="inlineStr">
        <is>
          <t>01.09.2026</t>
        </is>
      </c>
      <c r="C6" t="inlineStr">
        <is>
          <t>ИП Иванов</t>
        </is>
      </c>
      <c r="D6" t="n">
        <v>43919</v>
      </c>
      <c r="E6">
        <f>VLOOKUP(C6,'Справочник контрагентов'!B:G,6,FALSE)</f>
        <v/>
      </c>
      <c r="F6">
        <f>B6+E6</f>
        <v/>
      </c>
      <c r="G6" t="inlineStr"/>
      <c r="H6">
        <f>IF(G6="", TODAY()-F6, G6-F6)</f>
        <v/>
      </c>
      <c r="I6">
        <f>IF(G6="", IF(H6&gt;0, "Просрочена", "Ожидается"), "Оплачена")</f>
        <v/>
      </c>
    </row>
    <row r="7">
      <c r="A7" t="inlineStr">
        <is>
          <t>Р-006</t>
        </is>
      </c>
      <c r="B7" t="inlineStr">
        <is>
          <t>01.09.2026</t>
        </is>
      </c>
      <c r="C7" t="inlineStr">
        <is>
          <t>ИП Иванов</t>
        </is>
      </c>
      <c r="D7" t="n">
        <v>17930</v>
      </c>
      <c r="E7">
        <f>VLOOKUP(C7,'Справочник контрагентов'!B:G,6,FALSE)</f>
        <v/>
      </c>
      <c r="F7">
        <f>B7+E7</f>
        <v/>
      </c>
      <c r="G7" t="inlineStr"/>
      <c r="H7">
        <f>IF(G7="", TODAY()-F7, G7-F7)</f>
        <v/>
      </c>
      <c r="I7">
        <f>IF(G7="", IF(H7&gt;0, "Просрочена", "Ожидается"), "Оплачена")</f>
        <v/>
      </c>
    </row>
    <row r="8">
      <c r="A8" t="inlineStr">
        <is>
          <t>Р-007</t>
        </is>
      </c>
      <c r="B8" t="inlineStr">
        <is>
          <t>01.09.2026</t>
        </is>
      </c>
      <c r="C8" t="inlineStr">
        <is>
          <t>МебельТорг</t>
        </is>
      </c>
      <c r="D8" t="n">
        <v>24725</v>
      </c>
      <c r="E8">
        <f>VLOOKUP(C8,'Справочник контрагентов'!B:G,6,FALSE)</f>
        <v/>
      </c>
      <c r="F8">
        <f>B8+E8</f>
        <v/>
      </c>
      <c r="G8" t="inlineStr"/>
      <c r="H8">
        <f>IF(G8="", TODAY()-F8, G8-F8)</f>
        <v/>
      </c>
      <c r="I8">
        <f>IF(G8="", IF(H8&gt;0, "Просрочена", "Ожидается"), "Оплачена")</f>
        <v/>
      </c>
    </row>
    <row r="9">
      <c r="A9" t="inlineStr">
        <is>
          <t>Р-008</t>
        </is>
      </c>
      <c r="B9" t="inlineStr">
        <is>
          <t>01.09.2026</t>
        </is>
      </c>
      <c r="C9" t="inlineStr">
        <is>
          <t>МебельТорг</t>
        </is>
      </c>
      <c r="D9" t="n">
        <v>32156</v>
      </c>
      <c r="E9">
        <f>VLOOKUP(C9,'Справочник контрагентов'!B:G,6,FALSE)</f>
        <v/>
      </c>
      <c r="F9">
        <f>B9+E9</f>
        <v/>
      </c>
      <c r="G9" t="inlineStr"/>
      <c r="H9">
        <f>IF(G9="", TODAY()-F9, G9-F9)</f>
        <v/>
      </c>
      <c r="I9">
        <f>IF(G9="", IF(H9&gt;0, "Просрочена", "Ожидается"), "Оплачена")</f>
        <v/>
      </c>
    </row>
    <row r="10">
      <c r="A10" t="inlineStr">
        <is>
          <t>Р-009</t>
        </is>
      </c>
      <c r="B10" t="inlineStr">
        <is>
          <t>01.09.2026</t>
        </is>
      </c>
      <c r="C10" t="inlineStr">
        <is>
          <t>МебельТорг</t>
        </is>
      </c>
      <c r="D10" t="n">
        <v>48555</v>
      </c>
      <c r="E10">
        <f>VLOOKUP(C10,'Справочник контрагентов'!B:G,6,FALSE)</f>
        <v/>
      </c>
      <c r="F10">
        <f>B10+E10</f>
        <v/>
      </c>
      <c r="G10" t="inlineStr"/>
      <c r="H10">
        <f>IF(G10="", TODAY()-F10, G10-F10)</f>
        <v/>
      </c>
      <c r="I10">
        <f>IF(G10="", IF(H10&gt;0, "Просрочена", "Ожидается"), "Оплачена")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Таб. №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Отдел</t>
        </is>
      </c>
      <c r="E1" s="1" t="inlineStr">
        <is>
          <t>Оклад</t>
        </is>
      </c>
      <c r="F1" s="1" t="inlineStr">
        <is>
          <t>Дата приёма</t>
        </is>
      </c>
      <c r="G1" s="1" t="inlineStr">
        <is>
          <t>Стаж</t>
        </is>
      </c>
    </row>
    <row r="2">
      <c r="A2" t="inlineStr">
        <is>
          <t>С-001</t>
        </is>
      </c>
      <c r="B2" t="inlineStr">
        <is>
          <t>Иванов И.И.</t>
        </is>
      </c>
      <c r="C2" t="inlineStr">
        <is>
          <t>Менеджер</t>
        </is>
      </c>
      <c r="D2" t="inlineStr">
        <is>
          <t>Отдел продаж</t>
        </is>
      </c>
      <c r="E2" t="n">
        <v>50000</v>
      </c>
      <c r="F2" t="inlineStr">
        <is>
          <t>01.01.2020</t>
        </is>
      </c>
      <c r="G2">
        <f>ROUND(YEARFRAC(F2, TODAY()), 1)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Таб. №</t>
        </is>
      </c>
      <c r="B1" s="1" t="inlineStr">
        <is>
          <t>Отработано</t>
        </is>
      </c>
      <c r="C1" s="1" t="inlineStr">
        <is>
          <t>Норма</t>
        </is>
      </c>
      <c r="D1" s="1" t="inlineStr">
        <is>
          <t>Начислено</t>
        </is>
      </c>
      <c r="E1" s="1" t="inlineStr">
        <is>
          <t>Премия</t>
        </is>
      </c>
      <c r="F1" s="1" t="inlineStr">
        <is>
          <t>НДФЛ</t>
        </is>
      </c>
      <c r="G1" s="1" t="inlineStr">
        <is>
          <t>К выплате</t>
        </is>
      </c>
    </row>
    <row r="2">
      <c r="A2" t="inlineStr">
        <is>
          <t>С-001</t>
        </is>
      </c>
      <c r="B2" t="n">
        <v>21</v>
      </c>
      <c r="C2" t="n">
        <v>21</v>
      </c>
      <c r="D2">
        <f>VLOOKUP(A2,'Сотрудники'!A:E,5,FALSE)*B2/C2</f>
        <v/>
      </c>
      <c r="E2">
        <f>D2*0.1</f>
        <v/>
      </c>
      <c r="F2">
        <f>(D2+E2)*0.13</f>
        <v/>
      </c>
      <c r="G2">
        <f>D2+E2-F2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Код товара</t>
        </is>
      </c>
      <c r="B1" s="1" t="inlineStr">
        <is>
          <t>Выручка</t>
        </is>
      </c>
      <c r="C1" s="1" t="inlineStr">
        <is>
          <t>Доля</t>
        </is>
      </c>
      <c r="D1" s="1" t="inlineStr">
        <is>
          <t>Накоп. доля</t>
        </is>
      </c>
      <c r="E1" s="1" t="inlineStr">
        <is>
          <t>Класс</t>
        </is>
      </c>
    </row>
    <row r="2">
      <c r="A2" t="inlineStr">
        <is>
          <t>Т-006</t>
        </is>
      </c>
      <c r="B2">
        <f>SUMIF('Заказы'!D:D, A2, 'Заказы'!J:J)</f>
        <v/>
      </c>
      <c r="C2">
        <f>B2/SUM(B:B)</f>
        <v/>
      </c>
      <c r="D2">
        <f>C2</f>
        <v/>
      </c>
      <c r="E2">
        <f>IF(D2&lt;=0.8,"A",IF(D2&lt;=0.95,"B","C"))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Поставщик</t>
        </is>
      </c>
      <c r="B1" s="1" t="inlineStr">
        <is>
          <t>Цена</t>
        </is>
      </c>
      <c r="C1" s="1" t="inlineStr">
        <is>
          <t>Срок</t>
        </is>
      </c>
      <c r="D1" s="1" t="inlineStr">
        <is>
          <t>Оплата</t>
        </is>
      </c>
      <c r="E1" s="1" t="inlineStr">
        <is>
          <t>Рейтинг</t>
        </is>
      </c>
      <c r="F1" s="1" t="inlineStr">
        <is>
          <t>Интегральный показатель</t>
        </is>
      </c>
    </row>
    <row r="2">
      <c r="A2" t="inlineStr">
        <is>
          <t>ООО ЛесПром</t>
        </is>
      </c>
      <c r="B2" t="n">
        <v>100</v>
      </c>
      <c r="C2" t="n">
        <v>5</v>
      </c>
      <c r="D2" t="n">
        <v>14</v>
      </c>
      <c r="E2" t="n">
        <v>8</v>
      </c>
      <c r="F2">
        <f>B2*0.4 + C2*100*0.3 + (10-D2)*10 + (10-E2)*1000*0.2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KPI</t>
        </is>
      </c>
      <c r="B1" s="1" t="inlineStr">
        <is>
          <t>Значение</t>
        </is>
      </c>
    </row>
    <row r="2">
      <c r="A2" t="inlineStr">
        <is>
          <t>Выручка (ЛР3)</t>
        </is>
      </c>
      <c r="B2">
        <f>SUM('Заказы'!J:J)</f>
        <v/>
      </c>
    </row>
    <row r="3">
      <c r="A3" t="inlineStr">
        <is>
          <t>Стоимость остатков (ЛР2)</t>
        </is>
      </c>
      <c r="B3">
        <f>SUMPRODUCT('Остатки'!F:F, 'Справочник номенклатуры'!E:E)</f>
        <v/>
      </c>
    </row>
    <row r="4">
      <c r="A4" t="inlineStr">
        <is>
          <t>Дебиторка (ЛР6)</t>
        </is>
      </c>
      <c r="B4">
        <f>SUMIF('Реализация (Дебиторка)'!I:I, "Просрочена", 'Реализация (Дебиторка)'!D:D)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2026-10-15T10:00:25Z</dcterms:created>
  <dcterms:modified xmlns:dcterms="http://purl.org/dc/terms/" xmlns:xsi="http://www.w3.org/2001/XMLSchema-instance" xsi:type="dcterms:W3CDTF">2026-10-15T10:00:25Z</dcterms:modified>
</cp:coreProperties>
</file>