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 номенклатуры" sheetId="1" state="visible" r:id="rId1"/>
    <sheet xmlns:r="http://schemas.openxmlformats.org/officeDocument/2006/relationships" name="Справочник контрагентов" sheetId="2" state="visible" r:id="rId2"/>
    <sheet xmlns:r="http://schemas.openxmlformats.org/officeDocument/2006/relationships" name="Приходные ордера" sheetId="3" state="visible" r:id="rId3"/>
    <sheet xmlns:r="http://schemas.openxmlformats.org/officeDocument/2006/relationships" name="Расходные ордера" sheetId="4" state="visible" r:id="rId4"/>
    <sheet xmlns:r="http://schemas.openxmlformats.org/officeDocument/2006/relationships" name="Остат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Код товара</t>
        </is>
      </c>
      <c r="B1" s="1" t="inlineStr">
        <is>
          <t>Наименование товара</t>
        </is>
      </c>
      <c r="C1" s="1" t="inlineStr">
        <is>
          <t>Категория</t>
        </is>
      </c>
      <c r="D1" s="1" t="inlineStr">
        <is>
          <t>Ед. изм.</t>
        </is>
      </c>
      <c r="E1" s="1" t="inlineStr">
        <is>
          <t>Цена закупки</t>
        </is>
      </c>
      <c r="F1" s="1" t="inlineStr">
        <is>
          <t>Цена продажи</t>
        </is>
      </c>
      <c r="G1" s="1" t="inlineStr">
        <is>
          <t>Мин. остаток</t>
        </is>
      </c>
    </row>
    <row r="2">
      <c r="A2" t="inlineStr">
        <is>
          <t>Т-001</t>
        </is>
      </c>
      <c r="B2" t="inlineStr">
        <is>
          <t>Мука пшеничная</t>
        </is>
      </c>
      <c r="C2" t="inlineStr">
        <is>
          <t>Сырьё</t>
        </is>
      </c>
      <c r="D2" t="inlineStr">
        <is>
          <t>кг</t>
        </is>
      </c>
      <c r="E2" t="n">
        <v>30</v>
      </c>
      <c r="F2" t="n">
        <v>35</v>
      </c>
      <c r="G2" t="n">
        <v>100</v>
      </c>
    </row>
    <row r="3">
      <c r="A3" t="inlineStr">
        <is>
          <t>Т-002</t>
        </is>
      </c>
      <c r="B3" t="inlineStr">
        <is>
          <t>Сахар</t>
        </is>
      </c>
      <c r="C3" t="inlineStr">
        <is>
          <t>Сырьё</t>
        </is>
      </c>
      <c r="D3" t="inlineStr">
        <is>
          <t>кг</t>
        </is>
      </c>
      <c r="E3" t="n">
        <v>40</v>
      </c>
      <c r="F3" t="n">
        <v>45</v>
      </c>
      <c r="G3" t="n">
        <v>50</v>
      </c>
    </row>
    <row r="4">
      <c r="A4" t="inlineStr">
        <is>
          <t>Т-003</t>
        </is>
      </c>
      <c r="B4" t="inlineStr">
        <is>
          <t>Соль</t>
        </is>
      </c>
      <c r="C4" t="inlineStr">
        <is>
          <t>Сырьё</t>
        </is>
      </c>
      <c r="D4" t="inlineStr">
        <is>
          <t>кг</t>
        </is>
      </c>
      <c r="E4" t="n">
        <v>15</v>
      </c>
      <c r="F4" t="n">
        <v>20</v>
      </c>
      <c r="G4" t="n">
        <v>20</v>
      </c>
    </row>
    <row r="5">
      <c r="A5" t="inlineStr">
        <is>
          <t>Т-004</t>
        </is>
      </c>
      <c r="B5" t="inlineStr">
        <is>
          <t>Дрожжи</t>
        </is>
      </c>
      <c r="C5" t="inlineStr">
        <is>
          <t>Сырьё</t>
        </is>
      </c>
      <c r="D5" t="inlineStr">
        <is>
          <t>кг</t>
        </is>
      </c>
      <c r="E5" t="n">
        <v>100</v>
      </c>
      <c r="F5" t="n">
        <v>160</v>
      </c>
      <c r="G5" t="n">
        <v>10</v>
      </c>
    </row>
    <row r="6">
      <c r="A6" t="inlineStr">
        <is>
          <t>Т-005</t>
        </is>
      </c>
      <c r="B6" t="inlineStr">
        <is>
          <t>Масло растительное</t>
        </is>
      </c>
      <c r="C6" t="inlineStr">
        <is>
          <t>Сырьё</t>
        </is>
      </c>
      <c r="D6" t="inlineStr">
        <is>
          <t>л</t>
        </is>
      </c>
      <c r="E6" t="n">
        <v>80</v>
      </c>
      <c r="F6" t="n">
        <v>130</v>
      </c>
      <c r="G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Код контрагента</t>
        </is>
      </c>
      <c r="B1" s="1" t="inlineStr">
        <is>
          <t>Наименование</t>
        </is>
      </c>
      <c r="C1" s="1" t="inlineStr">
        <is>
          <t>Тип</t>
        </is>
      </c>
    </row>
    <row r="2">
      <c r="A2" t="inlineStr">
        <is>
          <t>К-001</t>
        </is>
      </c>
      <c r="B2" t="inlineStr">
        <is>
          <t>ООО Мукомол</t>
        </is>
      </c>
      <c r="C2" t="inlineStr">
        <is>
          <t>Поставщик</t>
        </is>
      </c>
    </row>
    <row r="3">
      <c r="A3" t="inlineStr">
        <is>
          <t>К-002</t>
        </is>
      </c>
      <c r="B3" t="inlineStr">
        <is>
          <t>ЗАО СахарТорг</t>
        </is>
      </c>
      <c r="C3" t="inlineStr">
        <is>
          <t>Поставщик</t>
        </is>
      </c>
    </row>
    <row r="4">
      <c r="A4" t="inlineStr">
        <is>
          <t>К-009</t>
        </is>
      </c>
      <c r="B4" t="inlineStr">
        <is>
          <t>Супермаркет №1</t>
        </is>
      </c>
      <c r="C4" t="inlineStr">
        <is>
          <t>Покупатель</t>
        </is>
      </c>
    </row>
    <row r="5">
      <c r="A5" t="inlineStr">
        <is>
          <t>К-010</t>
        </is>
      </c>
      <c r="B5" t="inlineStr">
        <is>
          <t>Сеть Магазинов У Дома</t>
        </is>
      </c>
      <c r="C5" t="inlineStr">
        <is>
          <t>Покупатель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№ ордера</t>
        </is>
      </c>
      <c r="B1" s="1" t="inlineStr">
        <is>
          <t>Дата</t>
        </is>
      </c>
      <c r="C1" s="1" t="inlineStr">
        <is>
          <t>Код товара</t>
        </is>
      </c>
      <c r="D1" s="1" t="inlineStr">
        <is>
          <t>Наименование</t>
        </is>
      </c>
      <c r="E1" s="1" t="inlineStr">
        <is>
          <t>Количество (шт.)</t>
        </is>
      </c>
      <c r="F1" s="1" t="inlineStr">
        <is>
          <t>Поставщик</t>
        </is>
      </c>
      <c r="G1" s="1" t="inlineStr">
        <is>
          <t>Цена закупки</t>
        </is>
      </c>
      <c r="H1" s="1" t="inlineStr">
        <is>
          <t>Сумма</t>
        </is>
      </c>
    </row>
    <row r="2">
      <c r="A2" t="inlineStr">
        <is>
          <t>ПО-001</t>
        </is>
      </c>
      <c r="B2" t="inlineStr">
        <is>
          <t>02.10.2026</t>
        </is>
      </c>
      <c r="C2" t="inlineStr">
        <is>
          <t>Т-005</t>
        </is>
      </c>
      <c r="D2">
        <f>VLOOKUP(C2,'Справочник номенклатуры'!A:B,2,FALSE)</f>
        <v/>
      </c>
      <c r="E2" t="n">
        <v>125</v>
      </c>
      <c r="F2" t="inlineStr">
        <is>
          <t>ООО Мукомол</t>
        </is>
      </c>
      <c r="G2">
        <f>VLOOKUP(C2,'Справочник номенклатуры'!A:E,5,FALSE)</f>
        <v/>
      </c>
      <c r="H2">
        <f>E2*G2</f>
        <v/>
      </c>
    </row>
    <row r="3">
      <c r="A3" t="inlineStr">
        <is>
          <t>ПО-002</t>
        </is>
      </c>
      <c r="B3" t="inlineStr">
        <is>
          <t>03.10.2026</t>
        </is>
      </c>
      <c r="C3" t="inlineStr">
        <is>
          <t>Т-001</t>
        </is>
      </c>
      <c r="D3">
        <f>VLOOKUP(C3,'Справочник номенклатуры'!A:B,2,FALSE)</f>
        <v/>
      </c>
      <c r="E3" t="n">
        <v>105</v>
      </c>
      <c r="F3" t="inlineStr">
        <is>
          <t>ООО Мукомол</t>
        </is>
      </c>
      <c r="G3">
        <f>VLOOKUP(C3,'Справочник номенклатуры'!A:E,5,FALSE)</f>
        <v/>
      </c>
      <c r="H3">
        <f>E3*G3</f>
        <v/>
      </c>
    </row>
    <row r="4">
      <c r="A4" t="inlineStr">
        <is>
          <t>ПО-003</t>
        </is>
      </c>
      <c r="B4" t="inlineStr">
        <is>
          <t>04.10.2026</t>
        </is>
      </c>
      <c r="C4" t="inlineStr">
        <is>
          <t>Т-004</t>
        </is>
      </c>
      <c r="D4">
        <f>VLOOKUP(C4,'Справочник номенклатуры'!A:B,2,FALSE)</f>
        <v/>
      </c>
      <c r="E4" t="n">
        <v>132</v>
      </c>
      <c r="F4" t="inlineStr">
        <is>
          <t>ООО Мукомол</t>
        </is>
      </c>
      <c r="G4">
        <f>VLOOKUP(C4,'Справочник номенклатуры'!A:E,5,FALSE)</f>
        <v/>
      </c>
      <c r="H4">
        <f>E4*G4</f>
        <v/>
      </c>
    </row>
    <row r="5">
      <c r="A5" t="inlineStr">
        <is>
          <t>ПО-004</t>
        </is>
      </c>
      <c r="B5" t="inlineStr">
        <is>
          <t>05.10.2026</t>
        </is>
      </c>
      <c r="C5" t="inlineStr">
        <is>
          <t>Т-004</t>
        </is>
      </c>
      <c r="D5">
        <f>VLOOKUP(C5,'Справочник номенклатуры'!A:B,2,FALSE)</f>
        <v/>
      </c>
      <c r="E5" t="n">
        <v>78</v>
      </c>
      <c r="F5" t="inlineStr">
        <is>
          <t>ЗАО СахарТорг</t>
        </is>
      </c>
      <c r="G5">
        <f>VLOOKUP(C5,'Справочник номенклатуры'!A:E,5,FALSE)</f>
        <v/>
      </c>
      <c r="H5">
        <f>E5*G5</f>
        <v/>
      </c>
    </row>
    <row r="6">
      <c r="A6" t="inlineStr">
        <is>
          <t>ПО-005</t>
        </is>
      </c>
      <c r="B6" t="inlineStr">
        <is>
          <t>06.10.2026</t>
        </is>
      </c>
      <c r="C6" t="inlineStr">
        <is>
          <t>Т-001</t>
        </is>
      </c>
      <c r="D6">
        <f>VLOOKUP(C6,'Справочник номенклатуры'!A:B,2,FALSE)</f>
        <v/>
      </c>
      <c r="E6" t="n">
        <v>182</v>
      </c>
      <c r="F6" t="inlineStr">
        <is>
          <t>ООО Мукомол</t>
        </is>
      </c>
      <c r="G6">
        <f>VLOOKUP(C6,'Справочник номенклатуры'!A:E,5,FALSE)</f>
        <v/>
      </c>
      <c r="H6">
        <f>E6*G6</f>
        <v/>
      </c>
    </row>
    <row r="7">
      <c r="A7" t="inlineStr">
        <is>
          <t>ПО-006</t>
        </is>
      </c>
      <c r="B7" t="inlineStr">
        <is>
          <t>07.10.2026</t>
        </is>
      </c>
      <c r="C7" t="inlineStr">
        <is>
          <t>Т-001</t>
        </is>
      </c>
      <c r="D7">
        <f>VLOOKUP(C7,'Справочник номенклатуры'!A:B,2,FALSE)</f>
        <v/>
      </c>
      <c r="E7" t="n">
        <v>110</v>
      </c>
      <c r="F7" t="inlineStr">
        <is>
          <t>ООО Мукомол</t>
        </is>
      </c>
      <c r="G7">
        <f>VLOOKUP(C7,'Справочник номенклатуры'!A:E,5,FALSE)</f>
        <v/>
      </c>
      <c r="H7">
        <f>E7*G7</f>
        <v/>
      </c>
    </row>
    <row r="8">
      <c r="A8" t="inlineStr">
        <is>
          <t>ПО-007</t>
        </is>
      </c>
      <c r="B8" t="inlineStr">
        <is>
          <t>08.10.2026</t>
        </is>
      </c>
      <c r="C8" t="inlineStr">
        <is>
          <t>Т-003</t>
        </is>
      </c>
      <c r="D8">
        <f>VLOOKUP(C8,'Справочник номенклатуры'!A:B,2,FALSE)</f>
        <v/>
      </c>
      <c r="E8" t="n">
        <v>67</v>
      </c>
      <c r="F8" t="inlineStr">
        <is>
          <t>ООО Мукомол</t>
        </is>
      </c>
      <c r="G8">
        <f>VLOOKUP(C8,'Справочник номенклатуры'!A:E,5,FALSE)</f>
        <v/>
      </c>
      <c r="H8">
        <f>E8*G8</f>
        <v/>
      </c>
    </row>
    <row r="9">
      <c r="A9" t="inlineStr">
        <is>
          <t>ПО-008</t>
        </is>
      </c>
      <c r="B9" t="inlineStr">
        <is>
          <t>09.10.2026</t>
        </is>
      </c>
      <c r="C9" t="inlineStr">
        <is>
          <t>Т-004</t>
        </is>
      </c>
      <c r="D9">
        <f>VLOOKUP(C9,'Справочник номенклатуры'!A:B,2,FALSE)</f>
        <v/>
      </c>
      <c r="E9" t="n">
        <v>81</v>
      </c>
      <c r="F9" t="inlineStr">
        <is>
          <t>ЗАО СахарТорг</t>
        </is>
      </c>
      <c r="G9">
        <f>VLOOKUP(C9,'Справочник номенклатуры'!A:E,5,FALSE)</f>
        <v/>
      </c>
      <c r="H9">
        <f>E9*G9</f>
        <v/>
      </c>
    </row>
    <row r="10">
      <c r="A10" t="inlineStr">
        <is>
          <t>ПО-009</t>
        </is>
      </c>
      <c r="B10" t="inlineStr">
        <is>
          <t>10.10.2026</t>
        </is>
      </c>
      <c r="C10" t="inlineStr">
        <is>
          <t>Т-001</t>
        </is>
      </c>
      <c r="D10">
        <f>VLOOKUP(C10,'Справочник номенклатуры'!A:B,2,FALSE)</f>
        <v/>
      </c>
      <c r="E10" t="n">
        <v>133</v>
      </c>
      <c r="F10" t="inlineStr">
        <is>
          <t>ООО Мукомол</t>
        </is>
      </c>
      <c r="G10">
        <f>VLOOKUP(C10,'Справочник номенклатуры'!A:E,5,FALSE)</f>
        <v/>
      </c>
      <c r="H10">
        <f>E10*G10</f>
        <v/>
      </c>
    </row>
    <row r="11">
      <c r="A11" t="inlineStr">
        <is>
          <t>ПО-010</t>
        </is>
      </c>
      <c r="B11" t="inlineStr">
        <is>
          <t>11.10.2026</t>
        </is>
      </c>
      <c r="C11" t="inlineStr">
        <is>
          <t>Т-002</t>
        </is>
      </c>
      <c r="D11">
        <f>VLOOKUP(C11,'Справочник номенклатуры'!A:B,2,FALSE)</f>
        <v/>
      </c>
      <c r="E11" t="n">
        <v>51</v>
      </c>
      <c r="F11" t="inlineStr">
        <is>
          <t>ООО Мукомол</t>
        </is>
      </c>
      <c r="G11">
        <f>VLOOKUP(C11,'Справочник номенклатуры'!A:E,5,FALSE)</f>
        <v/>
      </c>
      <c r="H11">
        <f>E11*G11</f>
        <v/>
      </c>
    </row>
    <row r="12">
      <c r="A12" t="inlineStr">
        <is>
          <t>ПО-011</t>
        </is>
      </c>
      <c r="B12" t="inlineStr">
        <is>
          <t>12.10.2026</t>
        </is>
      </c>
      <c r="C12" t="inlineStr">
        <is>
          <t>Т-004</t>
        </is>
      </c>
      <c r="D12">
        <f>VLOOKUP(C12,'Справочник номенклатуры'!A:B,2,FALSE)</f>
        <v/>
      </c>
      <c r="E12" t="n">
        <v>149</v>
      </c>
      <c r="F12" t="inlineStr">
        <is>
          <t>ЗАО СахарТорг</t>
        </is>
      </c>
      <c r="G12">
        <f>VLOOKUP(C12,'Справочник номенклатуры'!A:E,5,FALSE)</f>
        <v/>
      </c>
      <c r="H12">
        <f>E12*G12</f>
        <v/>
      </c>
    </row>
    <row r="13">
      <c r="A13" t="inlineStr">
        <is>
          <t>ПО-012</t>
        </is>
      </c>
      <c r="B13" t="inlineStr">
        <is>
          <t>13.10.2026</t>
        </is>
      </c>
      <c r="C13" t="inlineStr">
        <is>
          <t>Т-002</t>
        </is>
      </c>
      <c r="D13">
        <f>VLOOKUP(C13,'Справочник номенклатуры'!A:B,2,FALSE)</f>
        <v/>
      </c>
      <c r="E13" t="n">
        <v>145</v>
      </c>
      <c r="F13" t="inlineStr">
        <is>
          <t>ООО Мукомол</t>
        </is>
      </c>
      <c r="G13">
        <f>VLOOKUP(C13,'Справочник номенклатуры'!A:E,5,FALSE)</f>
        <v/>
      </c>
      <c r="H13">
        <f>E13*G13</f>
        <v/>
      </c>
    </row>
    <row r="14">
      <c r="A14" t="inlineStr">
        <is>
          <t>ПО-013</t>
        </is>
      </c>
      <c r="B14" t="inlineStr">
        <is>
          <t>14.10.2026</t>
        </is>
      </c>
      <c r="C14" t="inlineStr">
        <is>
          <t>Т-003</t>
        </is>
      </c>
      <c r="D14">
        <f>VLOOKUP(C14,'Справочник номенклатуры'!A:B,2,FALSE)</f>
        <v/>
      </c>
      <c r="E14" t="n">
        <v>50</v>
      </c>
      <c r="F14" t="inlineStr">
        <is>
          <t>ООО Мукомол</t>
        </is>
      </c>
      <c r="G14">
        <f>VLOOKUP(C14,'Справочник номенклатуры'!A:E,5,FALSE)</f>
        <v/>
      </c>
      <c r="H14">
        <f>E14*G14</f>
        <v/>
      </c>
    </row>
    <row r="15">
      <c r="A15" t="inlineStr">
        <is>
          <t>ПО-014</t>
        </is>
      </c>
      <c r="B15" t="inlineStr">
        <is>
          <t>15.10.2026</t>
        </is>
      </c>
      <c r="C15" t="inlineStr">
        <is>
          <t>Т-002</t>
        </is>
      </c>
      <c r="D15">
        <f>VLOOKUP(C15,'Справочник номенклатуры'!A:B,2,FALSE)</f>
        <v/>
      </c>
      <c r="E15" t="n">
        <v>140</v>
      </c>
      <c r="F15" t="inlineStr">
        <is>
          <t>ЗАО СахарТорг</t>
        </is>
      </c>
      <c r="G15">
        <f>VLOOKUP(C15,'Справочник номенклатуры'!A:E,5,FALSE)</f>
        <v/>
      </c>
      <c r="H15">
        <f>E15*G15</f>
        <v/>
      </c>
    </row>
    <row r="16">
      <c r="A16" t="inlineStr">
        <is>
          <t>ПО-015</t>
        </is>
      </c>
      <c r="B16" t="inlineStr">
        <is>
          <t>16.10.2026</t>
        </is>
      </c>
      <c r="C16" t="inlineStr">
        <is>
          <t>Т-004</t>
        </is>
      </c>
      <c r="D16">
        <f>VLOOKUP(C16,'Справочник номенклатуры'!A:B,2,FALSE)</f>
        <v/>
      </c>
      <c r="E16" t="n">
        <v>108</v>
      </c>
      <c r="F16" t="inlineStr">
        <is>
          <t>ЗАО СахарТорг</t>
        </is>
      </c>
      <c r="G16">
        <f>VLOOKUP(C16,'Справочник номенклатуры'!A:E,5,FALSE)</f>
        <v/>
      </c>
      <c r="H16">
        <f>E16*G16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№ ордера</t>
        </is>
      </c>
      <c r="B1" s="1" t="inlineStr">
        <is>
          <t>Дата</t>
        </is>
      </c>
      <c r="C1" s="1" t="inlineStr">
        <is>
          <t>Код товара</t>
        </is>
      </c>
      <c r="D1" s="1" t="inlineStr">
        <is>
          <t>Наименование</t>
        </is>
      </c>
      <c r="E1" s="1" t="inlineStr">
        <is>
          <t>Количество (шт.)</t>
        </is>
      </c>
      <c r="F1" s="1" t="inlineStr">
        <is>
          <t>Покупатель</t>
        </is>
      </c>
      <c r="G1" s="1" t="inlineStr">
        <is>
          <t>Цена продажи</t>
        </is>
      </c>
      <c r="H1" s="1" t="inlineStr">
        <is>
          <t>Сумма</t>
        </is>
      </c>
    </row>
    <row r="2">
      <c r="A2" t="inlineStr">
        <is>
          <t>РО-001</t>
        </is>
      </c>
      <c r="B2" t="inlineStr">
        <is>
          <t>02.10.2026</t>
        </is>
      </c>
      <c r="C2" t="inlineStr">
        <is>
          <t>Т-001</t>
        </is>
      </c>
      <c r="D2">
        <f>VLOOKUP(C2,'Справочник номенклатуры'!A:B,2,FALSE)</f>
        <v/>
      </c>
      <c r="E2" t="n">
        <v>26</v>
      </c>
      <c r="F2" t="inlineStr">
        <is>
          <t>Супермаркет №1</t>
        </is>
      </c>
      <c r="G2">
        <f>VLOOKUP(C2,'Справочник номенклатуры'!A:F,6,FALSE)</f>
        <v/>
      </c>
      <c r="H2">
        <f>E2*G2</f>
        <v/>
      </c>
    </row>
    <row r="3">
      <c r="A3" t="inlineStr">
        <is>
          <t>РО-002</t>
        </is>
      </c>
      <c r="B3" t="inlineStr">
        <is>
          <t>03.10.2026</t>
        </is>
      </c>
      <c r="C3" t="inlineStr">
        <is>
          <t>Т-001</t>
        </is>
      </c>
      <c r="D3">
        <f>VLOOKUP(C3,'Справочник номенклатуры'!A:B,2,FALSE)</f>
        <v/>
      </c>
      <c r="E3" t="n">
        <v>30</v>
      </c>
      <c r="F3" t="inlineStr">
        <is>
          <t>Сеть Магазинов У Дома</t>
        </is>
      </c>
      <c r="G3">
        <f>VLOOKUP(C3,'Справочник номенклатуры'!A:F,6,FALSE)</f>
        <v/>
      </c>
      <c r="H3">
        <f>E3*G3</f>
        <v/>
      </c>
    </row>
    <row r="4">
      <c r="A4" t="inlineStr">
        <is>
          <t>РО-003</t>
        </is>
      </c>
      <c r="B4" t="inlineStr">
        <is>
          <t>04.10.2026</t>
        </is>
      </c>
      <c r="C4" t="inlineStr">
        <is>
          <t>Т-002</t>
        </is>
      </c>
      <c r="D4">
        <f>VLOOKUP(C4,'Справочник номенклатуры'!A:B,2,FALSE)</f>
        <v/>
      </c>
      <c r="E4" t="n">
        <v>49</v>
      </c>
      <c r="F4" t="inlineStr">
        <is>
          <t>Супермаркет №1</t>
        </is>
      </c>
      <c r="G4">
        <f>VLOOKUP(C4,'Справочник номенклатуры'!A:F,6,FALSE)</f>
        <v/>
      </c>
      <c r="H4">
        <f>E4*G4</f>
        <v/>
      </c>
    </row>
    <row r="5">
      <c r="A5" t="inlineStr">
        <is>
          <t>РО-004</t>
        </is>
      </c>
      <c r="B5" t="inlineStr">
        <is>
          <t>05.10.2026</t>
        </is>
      </c>
      <c r="C5" t="inlineStr">
        <is>
          <t>Т-003</t>
        </is>
      </c>
      <c r="D5">
        <f>VLOOKUP(C5,'Справочник номенклатуры'!A:B,2,FALSE)</f>
        <v/>
      </c>
      <c r="E5" t="n">
        <v>29</v>
      </c>
      <c r="F5" t="inlineStr">
        <is>
          <t>Сеть Магазинов У Дома</t>
        </is>
      </c>
      <c r="G5">
        <f>VLOOKUP(C5,'Справочник номенклатуры'!A:F,6,FALSE)</f>
        <v/>
      </c>
      <c r="H5">
        <f>E5*G5</f>
        <v/>
      </c>
    </row>
    <row r="6">
      <c r="A6" t="inlineStr">
        <is>
          <t>РО-005</t>
        </is>
      </c>
      <c r="B6" t="inlineStr">
        <is>
          <t>06.10.2026</t>
        </is>
      </c>
      <c r="C6" t="inlineStr">
        <is>
          <t>Т-002</t>
        </is>
      </c>
      <c r="D6">
        <f>VLOOKUP(C6,'Справочник номенклатуры'!A:B,2,FALSE)</f>
        <v/>
      </c>
      <c r="E6" t="n">
        <v>26</v>
      </c>
      <c r="F6" t="inlineStr">
        <is>
          <t>Супермаркет №1</t>
        </is>
      </c>
      <c r="G6">
        <f>VLOOKUP(C6,'Справочник номенклатуры'!A:F,6,FALSE)</f>
        <v/>
      </c>
      <c r="H6">
        <f>E6*G6</f>
        <v/>
      </c>
    </row>
    <row r="7">
      <c r="A7" t="inlineStr">
        <is>
          <t>РО-006</t>
        </is>
      </c>
      <c r="B7" t="inlineStr">
        <is>
          <t>07.10.2026</t>
        </is>
      </c>
      <c r="C7" t="inlineStr">
        <is>
          <t>Т-005</t>
        </is>
      </c>
      <c r="D7">
        <f>VLOOKUP(C7,'Справочник номенклатуры'!A:B,2,FALSE)</f>
        <v/>
      </c>
      <c r="E7" t="n">
        <v>36</v>
      </c>
      <c r="F7" t="inlineStr">
        <is>
          <t>Сеть Магазинов У Дома</t>
        </is>
      </c>
      <c r="G7">
        <f>VLOOKUP(C7,'Справочник номенклатуры'!A:F,6,FALSE)</f>
        <v/>
      </c>
      <c r="H7">
        <f>E7*G7</f>
        <v/>
      </c>
    </row>
    <row r="8">
      <c r="A8" t="inlineStr">
        <is>
          <t>РО-007</t>
        </is>
      </c>
      <c r="B8" t="inlineStr">
        <is>
          <t>08.10.2026</t>
        </is>
      </c>
      <c r="C8" t="inlineStr">
        <is>
          <t>Т-002</t>
        </is>
      </c>
      <c r="D8">
        <f>VLOOKUP(C8,'Справочник номенклатуры'!A:B,2,FALSE)</f>
        <v/>
      </c>
      <c r="E8" t="n">
        <v>27</v>
      </c>
      <c r="F8" t="inlineStr">
        <is>
          <t>Сеть Магазинов У Дома</t>
        </is>
      </c>
      <c r="G8">
        <f>VLOOKUP(C8,'Справочник номенклатуры'!A:F,6,FALSE)</f>
        <v/>
      </c>
      <c r="H8">
        <f>E8*G8</f>
        <v/>
      </c>
    </row>
    <row r="9">
      <c r="A9" t="inlineStr">
        <is>
          <t>РО-008</t>
        </is>
      </c>
      <c r="B9" t="inlineStr">
        <is>
          <t>09.10.2026</t>
        </is>
      </c>
      <c r="C9" t="inlineStr">
        <is>
          <t>Т-005</t>
        </is>
      </c>
      <c r="D9">
        <f>VLOOKUP(C9,'Справочник номенклатуры'!A:B,2,FALSE)</f>
        <v/>
      </c>
      <c r="E9" t="n">
        <v>45</v>
      </c>
      <c r="F9" t="inlineStr">
        <is>
          <t>Супермаркет №1</t>
        </is>
      </c>
      <c r="G9">
        <f>VLOOKUP(C9,'Справочник номенклатуры'!A:F,6,FALSE)</f>
        <v/>
      </c>
      <c r="H9">
        <f>E9*G9</f>
        <v/>
      </c>
    </row>
    <row r="10">
      <c r="A10" t="inlineStr">
        <is>
          <t>РО-009</t>
        </is>
      </c>
      <c r="B10" t="inlineStr">
        <is>
          <t>10.10.2026</t>
        </is>
      </c>
      <c r="C10" t="inlineStr">
        <is>
          <t>Т-003</t>
        </is>
      </c>
      <c r="D10">
        <f>VLOOKUP(C10,'Справочник номенклатуры'!A:B,2,FALSE)</f>
        <v/>
      </c>
      <c r="E10" t="n">
        <v>46</v>
      </c>
      <c r="F10" t="inlineStr">
        <is>
          <t>Сеть Магазинов У Дома</t>
        </is>
      </c>
      <c r="G10">
        <f>VLOOKUP(C10,'Справочник номенклатуры'!A:F,6,FALSE)</f>
        <v/>
      </c>
      <c r="H10">
        <f>E10*G10</f>
        <v/>
      </c>
    </row>
    <row r="11">
      <c r="A11" t="inlineStr">
        <is>
          <t>РО-010</t>
        </is>
      </c>
      <c r="B11" t="inlineStr">
        <is>
          <t>11.10.2026</t>
        </is>
      </c>
      <c r="C11" t="inlineStr">
        <is>
          <t>Т-002</t>
        </is>
      </c>
      <c r="D11">
        <f>VLOOKUP(C11,'Справочник номенклатуры'!A:B,2,FALSE)</f>
        <v/>
      </c>
      <c r="E11" t="n">
        <v>50</v>
      </c>
      <c r="F11" t="inlineStr">
        <is>
          <t>Сеть Магазинов У Дома</t>
        </is>
      </c>
      <c r="G11">
        <f>VLOOKUP(C11,'Справочник номенклатуры'!A:F,6,FALSE)</f>
        <v/>
      </c>
      <c r="H11">
        <f>E11*G11</f>
        <v/>
      </c>
    </row>
    <row r="12">
      <c r="A12" t="inlineStr">
        <is>
          <t>РО-011</t>
        </is>
      </c>
      <c r="B12" t="inlineStr">
        <is>
          <t>12.10.2026</t>
        </is>
      </c>
      <c r="C12" t="inlineStr">
        <is>
          <t>Т-002</t>
        </is>
      </c>
      <c r="D12">
        <f>VLOOKUP(C12,'Справочник номенклатуры'!A:B,2,FALSE)</f>
        <v/>
      </c>
      <c r="E12" t="n">
        <v>44</v>
      </c>
      <c r="F12" t="inlineStr">
        <is>
          <t>Сеть Магазинов У Дома</t>
        </is>
      </c>
      <c r="G12">
        <f>VLOOKUP(C12,'Справочник номенклатуры'!A:F,6,FALSE)</f>
        <v/>
      </c>
      <c r="H12">
        <f>E12*G12</f>
        <v/>
      </c>
    </row>
    <row r="13">
      <c r="A13" t="inlineStr">
        <is>
          <t>РО-012</t>
        </is>
      </c>
      <c r="B13" t="inlineStr">
        <is>
          <t>13.10.2026</t>
        </is>
      </c>
      <c r="C13" t="inlineStr">
        <is>
          <t>Т-001</t>
        </is>
      </c>
      <c r="D13">
        <f>VLOOKUP(C13,'Справочник номенклатуры'!A:B,2,FALSE)</f>
        <v/>
      </c>
      <c r="E13" t="n">
        <v>24</v>
      </c>
      <c r="F13" t="inlineStr">
        <is>
          <t>Сеть Магазинов У Дома</t>
        </is>
      </c>
      <c r="G13">
        <f>VLOOKUP(C13,'Справочник номенклатуры'!A:F,6,FALSE)</f>
        <v/>
      </c>
      <c r="H13">
        <f>E13*G13</f>
        <v/>
      </c>
    </row>
    <row r="14">
      <c r="A14" t="inlineStr">
        <is>
          <t>РО-013</t>
        </is>
      </c>
      <c r="B14" t="inlineStr">
        <is>
          <t>14.10.2026</t>
        </is>
      </c>
      <c r="C14" t="inlineStr">
        <is>
          <t>Т-003</t>
        </is>
      </c>
      <c r="D14">
        <f>VLOOKUP(C14,'Справочник номенклатуры'!A:B,2,FALSE)</f>
        <v/>
      </c>
      <c r="E14" t="n">
        <v>23</v>
      </c>
      <c r="F14" t="inlineStr">
        <is>
          <t>Супермаркет №1</t>
        </is>
      </c>
      <c r="G14">
        <f>VLOOKUP(C14,'Справочник номенклатуры'!A:F,6,FALSE)</f>
        <v/>
      </c>
      <c r="H14">
        <f>E14*G14</f>
        <v/>
      </c>
    </row>
    <row r="15">
      <c r="A15" t="inlineStr">
        <is>
          <t>РО-014</t>
        </is>
      </c>
      <c r="B15" t="inlineStr">
        <is>
          <t>15.10.2026</t>
        </is>
      </c>
      <c r="C15" t="inlineStr">
        <is>
          <t>Т-003</t>
        </is>
      </c>
      <c r="D15">
        <f>VLOOKUP(C15,'Справочник номенклатуры'!A:B,2,FALSE)</f>
        <v/>
      </c>
      <c r="E15" t="n">
        <v>28</v>
      </c>
      <c r="F15" t="inlineStr">
        <is>
          <t>Супермаркет №1</t>
        </is>
      </c>
      <c r="G15">
        <f>VLOOKUP(C15,'Справочник номенклатуры'!A:F,6,FALSE)</f>
        <v/>
      </c>
      <c r="H15">
        <f>E15*G15</f>
        <v/>
      </c>
    </row>
    <row r="16">
      <c r="A16" t="inlineStr">
        <is>
          <t>РО-015</t>
        </is>
      </c>
      <c r="B16" t="inlineStr">
        <is>
          <t>16.10.2026</t>
        </is>
      </c>
      <c r="C16" t="inlineStr">
        <is>
          <t>Т-003</t>
        </is>
      </c>
      <c r="D16">
        <f>VLOOKUP(C16,'Справочник номенклатуры'!A:B,2,FALSE)</f>
        <v/>
      </c>
      <c r="E16" t="n">
        <v>35</v>
      </c>
      <c r="F16" t="inlineStr">
        <is>
          <t>Сеть Магазинов У Дома</t>
        </is>
      </c>
      <c r="G16">
        <f>VLOOKUP(C16,'Справочник номенклатуры'!A:F,6,FALSE)</f>
        <v/>
      </c>
      <c r="H16">
        <f>E16*G16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Нач. остаток</t>
        </is>
      </c>
      <c r="D1" s="1" t="inlineStr">
        <is>
          <t>Всего приход</t>
        </is>
      </c>
      <c r="E1" s="1" t="inlineStr">
        <is>
          <t>Всего расход</t>
        </is>
      </c>
      <c r="F1" s="1" t="inlineStr">
        <is>
          <t>Конечный остаток</t>
        </is>
      </c>
      <c r="G1" s="1" t="inlineStr">
        <is>
          <t>Мин. остаток</t>
        </is>
      </c>
      <c r="H1" s="1" t="inlineStr">
        <is>
          <t>Статус</t>
        </is>
      </c>
    </row>
    <row r="2">
      <c r="A2" t="inlineStr">
        <is>
          <t>Т-001</t>
        </is>
      </c>
      <c r="B2">
        <f>VLOOKUP(A2,'Справочник номенклатуры'!A:B,2,FALSE)</f>
        <v/>
      </c>
      <c r="C2" t="n">
        <v>70</v>
      </c>
      <c r="D2">
        <f>SUMIF('Приходные ордера'!C:C, A2, 'Приходные ордера'!E:E)</f>
        <v/>
      </c>
      <c r="E2">
        <f>SUMIF('Расходные ордера'!C:C, A2, 'Расходные ордера'!E:E)</f>
        <v/>
      </c>
      <c r="F2">
        <f>C2+D2-E2</f>
        <v/>
      </c>
      <c r="G2">
        <f>VLOOKUP(A2,'Справочник номенклатуры'!A:G,7,FALSE)</f>
        <v/>
      </c>
      <c r="H2">
        <f>IF(F2&lt;G2,"Заказать","ОК")</f>
        <v/>
      </c>
    </row>
    <row r="3">
      <c r="A3" t="inlineStr">
        <is>
          <t>Т-002</t>
        </is>
      </c>
      <c r="B3">
        <f>VLOOKUP(A3,'Справочник номенклатуры'!A:B,2,FALSE)</f>
        <v/>
      </c>
      <c r="C3" t="n">
        <v>60</v>
      </c>
      <c r="D3">
        <f>SUMIF('Приходные ордера'!C:C, A3, 'Приходные ордера'!E:E)</f>
        <v/>
      </c>
      <c r="E3">
        <f>SUMIF('Расходные ордера'!C:C, A3, 'Расходные ордера'!E:E)</f>
        <v/>
      </c>
      <c r="F3">
        <f>C3+D3-E3</f>
        <v/>
      </c>
      <c r="G3">
        <f>VLOOKUP(A3,'Справочник номенклатуры'!A:G,7,FALSE)</f>
        <v/>
      </c>
      <c r="H3">
        <f>IF(F3&lt;G3,"Заказать","ОК")</f>
        <v/>
      </c>
    </row>
    <row r="4">
      <c r="A4" t="inlineStr">
        <is>
          <t>Т-003</t>
        </is>
      </c>
      <c r="B4">
        <f>VLOOKUP(A4,'Справочник номенклатуры'!A:B,2,FALSE)</f>
        <v/>
      </c>
      <c r="C4" t="n">
        <v>88</v>
      </c>
      <c r="D4">
        <f>SUMIF('Приходные ордера'!C:C, A4, 'Приходные ордера'!E:E)</f>
        <v/>
      </c>
      <c r="E4">
        <f>SUMIF('Расходные ордера'!C:C, A4, 'Расходные ордера'!E:E)</f>
        <v/>
      </c>
      <c r="F4">
        <f>C4+D4-E4</f>
        <v/>
      </c>
      <c r="G4">
        <f>VLOOKUP(A4,'Справочник номенклатуры'!A:G,7,FALSE)</f>
        <v/>
      </c>
      <c r="H4">
        <f>IF(F4&lt;G4,"Заказать","ОК")</f>
        <v/>
      </c>
    </row>
    <row r="5">
      <c r="A5" t="inlineStr">
        <is>
          <t>Т-004</t>
        </is>
      </c>
      <c r="B5">
        <f>VLOOKUP(A5,'Справочник номенклатуры'!A:B,2,FALSE)</f>
        <v/>
      </c>
      <c r="C5" t="n">
        <v>23</v>
      </c>
      <c r="D5">
        <f>SUMIF('Приходные ордера'!C:C, A5, 'Приходные ордера'!E:E)</f>
        <v/>
      </c>
      <c r="E5">
        <f>SUMIF('Расходные ордера'!C:C, A5, 'Расходные ордера'!E:E)</f>
        <v/>
      </c>
      <c r="F5">
        <f>C5+D5-E5</f>
        <v/>
      </c>
      <c r="G5">
        <f>VLOOKUP(A5,'Справочник номенклатуры'!A:G,7,FALSE)</f>
        <v/>
      </c>
      <c r="H5">
        <f>IF(F5&lt;G5,"Заказать","ОК")</f>
        <v/>
      </c>
    </row>
    <row r="6">
      <c r="A6" t="inlineStr">
        <is>
          <t>Т-005</t>
        </is>
      </c>
      <c r="B6">
        <f>VLOOKUP(A6,'Справочник номенклатуры'!A:B,2,FALSE)</f>
        <v/>
      </c>
      <c r="C6" t="n">
        <v>95</v>
      </c>
      <c r="D6">
        <f>SUMIF('Приходные ордера'!C:C, A6, 'Приходные ордера'!E:E)</f>
        <v/>
      </c>
      <c r="E6">
        <f>SUMIF('Расходные ордера'!C:C, A6, 'Расходные ордера'!E:E)</f>
        <v/>
      </c>
      <c r="F6">
        <f>C6+D6-E6</f>
        <v/>
      </c>
      <c r="G6">
        <f>VLOOKUP(A6,'Справочник номенклатуры'!A:G,7,FALSE)</f>
        <v/>
      </c>
      <c r="H6">
        <f>IF(F6&lt;G6,"Заказать","ОК")</f>
        <v/>
      </c>
    </row>
  </sheetData>
  <conditionalFormatting sqref="H2:H6">
    <cfRule type="cellIs" priority="1" operator="equal" dxfId="0">
      <formula>"Заказать"</formula>
    </cfRule>
    <cfRule type="cellIs" priority="2" operator="equal" dxfId="1">
      <formula>"ОК"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2026-10-06T12:35:34Z</dcterms:created>
  <dcterms:modified xmlns:dcterms="http://purl.org/dc/terms/" xmlns:xsi="http://www.w3.org/2001/XMLSchema-instance" xsi:type="dcterms:W3CDTF">2026-10-06T12:35:34Z</dcterms:modified>
</cp:coreProperties>
</file>